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d710d6dd1ca32dda/Desktop/project/"/>
    </mc:Choice>
  </mc:AlternateContent>
  <xr:revisionPtr revIDLastSave="67" documentId="8_{528E7378-2AC4-4D57-B7CB-2AA322AA6DE5}" xr6:coauthVersionLast="47" xr6:coauthVersionMax="47" xr10:uidLastSave="{1B6EAC1B-38BA-47B1-AD50-4476BA9D60CA}"/>
  <bookViews>
    <workbookView xWindow="-108" yWindow="-108" windowWidth="23256" windowHeight="12456" firstSheet="1" activeTab="4" xr2:uid="{DD1EEC51-095E-4A9F-84CE-B247A04FEA52}"/>
  </bookViews>
  <sheets>
    <sheet name="datamites database_Final" sheetId="1" r:id="rId1"/>
    <sheet name="Detail1" sheetId="12" r:id="rId2"/>
    <sheet name="GENDER INSIGHTS " sheetId="3" r:id="rId3"/>
    <sheet name="AGE INSIGHTS" sheetId="9" r:id="rId4"/>
    <sheet name="PAYMENT METHOD INSIGHS" sheetId="13" r:id="rId5"/>
  </sheets>
  <definedNames>
    <definedName name="_xlnm._FilterDatabase" localSheetId="0" hidden="1">'datamites database_Final'!$C$1:$C$1001</definedName>
    <definedName name="_xlchart.v1.0" hidden="1">'datamites database_Final'!$D$1</definedName>
    <definedName name="_xlchart.v1.1" hidden="1">'datamites database_Final'!$D$2:$D$1001</definedName>
    <definedName name="_xlchart.v1.2" hidden="1">'datamites database_Final'!$H$1</definedName>
    <definedName name="_xlchart.v1.3" hidden="1">'datamites database_Final'!$H$2:$H$1001</definedName>
    <definedName name="_xlchart.v1.4" hidden="1">'datamites database_Final'!$G$1</definedName>
    <definedName name="_xlchart.v1.5" hidden="1">'datamites database_Final'!$G$2:$G$1001</definedName>
    <definedName name="Slicer_category">#N/A</definedName>
    <definedName name="Slicer_category1">#N/A</definedName>
    <definedName name="Slicer_category2">#N/A</definedName>
    <definedName name="Slicer_gender">#N/A</definedName>
    <definedName name="Slicer_gender1">#N/A</definedName>
    <definedName name="Slicer_gender2">#N/A</definedName>
    <definedName name="Slicer_shopping_mall">#N/A</definedName>
    <definedName name="Slicer_shopping_mall1">#N/A</definedName>
    <definedName name="Slicer_shopping_mall2">#N/A</definedName>
  </definedNames>
  <calcPr calcId="191029"/>
  <pivotCaches>
    <pivotCache cacheId="26" r:id="rId6"/>
    <pivotCache cacheId="2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alcChain>
</file>

<file path=xl/sharedStrings.xml><?xml version="1.0" encoding="utf-8"?>
<sst xmlns="http://schemas.openxmlformats.org/spreadsheetml/2006/main" count="7976" uniqueCount="2061">
  <si>
    <t>invoice_no</t>
  </si>
  <si>
    <t>customer_id</t>
  </si>
  <si>
    <t>gender</t>
  </si>
  <si>
    <t>age</t>
  </si>
  <si>
    <t>category</t>
  </si>
  <si>
    <t>quantity</t>
  </si>
  <si>
    <t>price</t>
  </si>
  <si>
    <t>payment_method</t>
  </si>
  <si>
    <t>invoice_date</t>
  </si>
  <si>
    <t>shopping_mall</t>
  </si>
  <si>
    <t>I100008</t>
  </si>
  <si>
    <t>C199951</t>
  </si>
  <si>
    <t>Male</t>
  </si>
  <si>
    <t>Clothing</t>
  </si>
  <si>
    <t>Cash</t>
  </si>
  <si>
    <t>Emaar Square Mall</t>
  </si>
  <si>
    <t>I100014</t>
  </si>
  <si>
    <t>C138893</t>
  </si>
  <si>
    <t>Cosmetics</t>
  </si>
  <si>
    <t>Viaport Outlet</t>
  </si>
  <si>
    <t>I100015</t>
  </si>
  <si>
    <t>C132779</t>
  </si>
  <si>
    <t>Female</t>
  </si>
  <si>
    <t>Debit Card</t>
  </si>
  <si>
    <t>Mall of Istanbul</t>
  </si>
  <si>
    <t>I100024</t>
  </si>
  <si>
    <t>C244411</t>
  </si>
  <si>
    <t>Books</t>
  </si>
  <si>
    <t>Credit Card</t>
  </si>
  <si>
    <t>I100027</t>
  </si>
  <si>
    <t>C150002</t>
  </si>
  <si>
    <t>Technology</t>
  </si>
  <si>
    <t>I100028</t>
  </si>
  <si>
    <t>C325553</t>
  </si>
  <si>
    <t>Metrocity</t>
  </si>
  <si>
    <t>I100031</t>
  </si>
  <si>
    <t>C378408</t>
  </si>
  <si>
    <t>Food &amp; Beverage</t>
  </si>
  <si>
    <t>I100033</t>
  </si>
  <si>
    <t>C278721</t>
  </si>
  <si>
    <t>Zorlu Center</t>
  </si>
  <si>
    <t>I100037</t>
  </si>
  <si>
    <t>C122873</t>
  </si>
  <si>
    <t>Kanyon</t>
  </si>
  <si>
    <t>I100041</t>
  </si>
  <si>
    <t>C326923</t>
  </si>
  <si>
    <t>I100049</t>
  </si>
  <si>
    <t>C297871</t>
  </si>
  <si>
    <t>Shoes</t>
  </si>
  <si>
    <t>I100053</t>
  </si>
  <si>
    <t>C217294</t>
  </si>
  <si>
    <t>I100057</t>
  </si>
  <si>
    <t>C225062</t>
  </si>
  <si>
    <t>Forum Istanbul</t>
  </si>
  <si>
    <t>I100059</t>
  </si>
  <si>
    <t>C292544</t>
  </si>
  <si>
    <t>Souvenir</t>
  </si>
  <si>
    <t>I100068</t>
  </si>
  <si>
    <t>C647308</t>
  </si>
  <si>
    <t>Toys</t>
  </si>
  <si>
    <t>Metropol AVM</t>
  </si>
  <si>
    <t>I100071</t>
  </si>
  <si>
    <t>C522050</t>
  </si>
  <si>
    <t>I100072</t>
  </si>
  <si>
    <t>C143773</t>
  </si>
  <si>
    <t>I100077</t>
  </si>
  <si>
    <t>C356550</t>
  </si>
  <si>
    <t>I100078</t>
  </si>
  <si>
    <t>C272831</t>
  </si>
  <si>
    <t>I100080</t>
  </si>
  <si>
    <t>C696236</t>
  </si>
  <si>
    <t>I100082</t>
  </si>
  <si>
    <t>C357288</t>
  </si>
  <si>
    <t>Cevahir AVM</t>
  </si>
  <si>
    <t>I100084</t>
  </si>
  <si>
    <t>C226369</t>
  </si>
  <si>
    <t>I100089</t>
  </si>
  <si>
    <t>C123196</t>
  </si>
  <si>
    <t>I100090</t>
  </si>
  <si>
    <t>C801451</t>
  </si>
  <si>
    <t>I100094</t>
  </si>
  <si>
    <t>C246470</t>
  </si>
  <si>
    <t>I100095</t>
  </si>
  <si>
    <t>C608046</t>
  </si>
  <si>
    <t>Istinye Park</t>
  </si>
  <si>
    <t>I100097</t>
  </si>
  <si>
    <t>C673123</t>
  </si>
  <si>
    <t>I100098</t>
  </si>
  <si>
    <t>C228071</t>
  </si>
  <si>
    <t>I100105</t>
  </si>
  <si>
    <t>C246820</t>
  </si>
  <si>
    <t>I100106</t>
  </si>
  <si>
    <t>C850385</t>
  </si>
  <si>
    <t>I100108</t>
  </si>
  <si>
    <t>C331773</t>
  </si>
  <si>
    <t>I100111</t>
  </si>
  <si>
    <t>C314731</t>
  </si>
  <si>
    <t>I100113</t>
  </si>
  <si>
    <t>C136435</t>
  </si>
  <si>
    <t>I100116</t>
  </si>
  <si>
    <t>C235320</t>
  </si>
  <si>
    <t>I100126</t>
  </si>
  <si>
    <t>C103405</t>
  </si>
  <si>
    <t>I100127</t>
  </si>
  <si>
    <t>C708853</t>
  </si>
  <si>
    <t>I100128</t>
  </si>
  <si>
    <t>C168282</t>
  </si>
  <si>
    <t>I100137</t>
  </si>
  <si>
    <t>C233463</t>
  </si>
  <si>
    <t>I100138</t>
  </si>
  <si>
    <t>C237364</t>
  </si>
  <si>
    <t>I100142</t>
  </si>
  <si>
    <t>C161659</t>
  </si>
  <si>
    <t>I100145</t>
  </si>
  <si>
    <t>C153189</t>
  </si>
  <si>
    <t>I100146</t>
  </si>
  <si>
    <t>C320745</t>
  </si>
  <si>
    <t>I100148</t>
  </si>
  <si>
    <t>C200488</t>
  </si>
  <si>
    <t>I100149</t>
  </si>
  <si>
    <t>C193896</t>
  </si>
  <si>
    <t>I100151</t>
  </si>
  <si>
    <t>C315218</t>
  </si>
  <si>
    <t>I100152</t>
  </si>
  <si>
    <t>C265676</t>
  </si>
  <si>
    <t>I100155</t>
  </si>
  <si>
    <t>C312476</t>
  </si>
  <si>
    <t>I100156</t>
  </si>
  <si>
    <t>C462935</t>
  </si>
  <si>
    <t>I100161</t>
  </si>
  <si>
    <t>C262871</t>
  </si>
  <si>
    <t>I100168</t>
  </si>
  <si>
    <t>C135319</t>
  </si>
  <si>
    <t>I100173</t>
  </si>
  <si>
    <t>C190374</t>
  </si>
  <si>
    <t>I100174</t>
  </si>
  <si>
    <t>C286570</t>
  </si>
  <si>
    <t>I100181</t>
  </si>
  <si>
    <t>C123341</t>
  </si>
  <si>
    <t>I100184</t>
  </si>
  <si>
    <t>C131276</t>
  </si>
  <si>
    <t>I100186</t>
  </si>
  <si>
    <t>C222236</t>
  </si>
  <si>
    <t>I100187</t>
  </si>
  <si>
    <t>C178869</t>
  </si>
  <si>
    <t>I100192</t>
  </si>
  <si>
    <t>C161234</t>
  </si>
  <si>
    <t>I100193</t>
  </si>
  <si>
    <t>C149918</t>
  </si>
  <si>
    <t>I100195</t>
  </si>
  <si>
    <t>C322199</t>
  </si>
  <si>
    <t>I100198</t>
  </si>
  <si>
    <t>C136883</t>
  </si>
  <si>
    <t>I100199</t>
  </si>
  <si>
    <t>C275614</t>
  </si>
  <si>
    <t>I100200</t>
  </si>
  <si>
    <t>C948033</t>
  </si>
  <si>
    <t>I100201</t>
  </si>
  <si>
    <t>C982027</t>
  </si>
  <si>
    <t>I100202</t>
  </si>
  <si>
    <t>C182496</t>
  </si>
  <si>
    <t>I100205</t>
  </si>
  <si>
    <t>C220151</t>
  </si>
  <si>
    <t>I100207</t>
  </si>
  <si>
    <t>C452901</t>
  </si>
  <si>
    <t>I100211</t>
  </si>
  <si>
    <t>C239527</t>
  </si>
  <si>
    <t>I100212</t>
  </si>
  <si>
    <t>C282695</t>
  </si>
  <si>
    <t>I100214</t>
  </si>
  <si>
    <t>C989972</t>
  </si>
  <si>
    <t>I100215</t>
  </si>
  <si>
    <t>C198589</t>
  </si>
  <si>
    <t>I100216</t>
  </si>
  <si>
    <t>C145243</t>
  </si>
  <si>
    <t>I100218</t>
  </si>
  <si>
    <t>C205490</t>
  </si>
  <si>
    <t>I100220</t>
  </si>
  <si>
    <t>C122251</t>
  </si>
  <si>
    <t>I100223</t>
  </si>
  <si>
    <t>C212702</t>
  </si>
  <si>
    <t>I100225</t>
  </si>
  <si>
    <t>C128382</t>
  </si>
  <si>
    <t>I100227</t>
  </si>
  <si>
    <t>C364271</t>
  </si>
  <si>
    <t>I100228</t>
  </si>
  <si>
    <t>C248381</t>
  </si>
  <si>
    <t>I100229</t>
  </si>
  <si>
    <t>C397160</t>
  </si>
  <si>
    <t>I100231</t>
  </si>
  <si>
    <t>C274640</t>
  </si>
  <si>
    <t>I100240</t>
  </si>
  <si>
    <t>C240922</t>
  </si>
  <si>
    <t>I100243</t>
  </si>
  <si>
    <t>C332855</t>
  </si>
  <si>
    <t>I100249</t>
  </si>
  <si>
    <t>C209647</t>
  </si>
  <si>
    <t>I100251</t>
  </si>
  <si>
    <t>C228482</t>
  </si>
  <si>
    <t>I100261</t>
  </si>
  <si>
    <t>C315632</t>
  </si>
  <si>
    <t>I100267</t>
  </si>
  <si>
    <t>C299948</t>
  </si>
  <si>
    <t>I100271</t>
  </si>
  <si>
    <t>C892772</t>
  </si>
  <si>
    <t>I100273</t>
  </si>
  <si>
    <t>C291963</t>
  </si>
  <si>
    <t>I100281</t>
  </si>
  <si>
    <t>C711548</t>
  </si>
  <si>
    <t>I100282</t>
  </si>
  <si>
    <t>C836957</t>
  </si>
  <si>
    <t>I100284</t>
  </si>
  <si>
    <t>C174674</t>
  </si>
  <si>
    <t>I100288</t>
  </si>
  <si>
    <t>C435081</t>
  </si>
  <si>
    <t>I100290</t>
  </si>
  <si>
    <t>C118172</t>
  </si>
  <si>
    <t>I100291</t>
  </si>
  <si>
    <t>C832260</t>
  </si>
  <si>
    <t>I100292</t>
  </si>
  <si>
    <t>C721616</t>
  </si>
  <si>
    <t>I100293</t>
  </si>
  <si>
    <t>C991830</t>
  </si>
  <si>
    <t>I100294</t>
  </si>
  <si>
    <t>C277127</t>
  </si>
  <si>
    <t>I100299</t>
  </si>
  <si>
    <t>C179079</t>
  </si>
  <si>
    <t>I100301</t>
  </si>
  <si>
    <t>C553904</t>
  </si>
  <si>
    <t>I100307</t>
  </si>
  <si>
    <t>C887007</t>
  </si>
  <si>
    <t>I100308</t>
  </si>
  <si>
    <t>C104593</t>
  </si>
  <si>
    <t>I100310</t>
  </si>
  <si>
    <t>C183161</t>
  </si>
  <si>
    <t>I100311</t>
  </si>
  <si>
    <t>C115462</t>
  </si>
  <si>
    <t>I100312</t>
  </si>
  <si>
    <t>C280934</t>
  </si>
  <si>
    <t>I100313</t>
  </si>
  <si>
    <t>C144410</t>
  </si>
  <si>
    <t>I100315</t>
  </si>
  <si>
    <t>C242277</t>
  </si>
  <si>
    <t>I100316</t>
  </si>
  <si>
    <t>C248553</t>
  </si>
  <si>
    <t>I100320</t>
  </si>
  <si>
    <t>C152872</t>
  </si>
  <si>
    <t>I100321</t>
  </si>
  <si>
    <t>C113910</t>
  </si>
  <si>
    <t>I100323</t>
  </si>
  <si>
    <t>C107529</t>
  </si>
  <si>
    <t>I100324</t>
  </si>
  <si>
    <t>C288166</t>
  </si>
  <si>
    <t>I100328</t>
  </si>
  <si>
    <t>C152052</t>
  </si>
  <si>
    <t>I100330</t>
  </si>
  <si>
    <t>C453598</t>
  </si>
  <si>
    <t>I100336</t>
  </si>
  <si>
    <t>C202040</t>
  </si>
  <si>
    <t>I100338</t>
  </si>
  <si>
    <t>C779694</t>
  </si>
  <si>
    <t>I100354</t>
  </si>
  <si>
    <t>C135028</t>
  </si>
  <si>
    <t>I100355</t>
  </si>
  <si>
    <t>C189409</t>
  </si>
  <si>
    <t>I100357</t>
  </si>
  <si>
    <t>C494452</t>
  </si>
  <si>
    <t>I100358</t>
  </si>
  <si>
    <t>C339237</t>
  </si>
  <si>
    <t>I100361</t>
  </si>
  <si>
    <t>C224357</t>
  </si>
  <si>
    <t>I100364</t>
  </si>
  <si>
    <t>C231500</t>
  </si>
  <si>
    <t>I100365</t>
  </si>
  <si>
    <t>C624809</t>
  </si>
  <si>
    <t>I100366</t>
  </si>
  <si>
    <t>C296054</t>
  </si>
  <si>
    <t>I100367</t>
  </si>
  <si>
    <t>C268495</t>
  </si>
  <si>
    <t>I100368</t>
  </si>
  <si>
    <t>C168429</t>
  </si>
  <si>
    <t>I100377</t>
  </si>
  <si>
    <t>C272529</t>
  </si>
  <si>
    <t>I100381</t>
  </si>
  <si>
    <t>C243648</t>
  </si>
  <si>
    <t>I100387</t>
  </si>
  <si>
    <t>C234074</t>
  </si>
  <si>
    <t>I100397</t>
  </si>
  <si>
    <t>C262466</t>
  </si>
  <si>
    <t>I100399</t>
  </si>
  <si>
    <t>C250107</t>
  </si>
  <si>
    <t>I100400</t>
  </si>
  <si>
    <t>C271625</t>
  </si>
  <si>
    <t>I100401</t>
  </si>
  <si>
    <t>C291610</t>
  </si>
  <si>
    <t>I100404</t>
  </si>
  <si>
    <t>C116794</t>
  </si>
  <si>
    <t>I100406</t>
  </si>
  <si>
    <t>C146640</t>
  </si>
  <si>
    <t>I100408</t>
  </si>
  <si>
    <t>C128638</t>
  </si>
  <si>
    <t>I100412</t>
  </si>
  <si>
    <t>C313809</t>
  </si>
  <si>
    <t>I100414</t>
  </si>
  <si>
    <t>C233655</t>
  </si>
  <si>
    <t>I100417</t>
  </si>
  <si>
    <t>C310007</t>
  </si>
  <si>
    <t>I100419</t>
  </si>
  <si>
    <t>C937473</t>
  </si>
  <si>
    <t>I100420</t>
  </si>
  <si>
    <t>C261035</t>
  </si>
  <si>
    <t>I100423</t>
  </si>
  <si>
    <t>C664680</t>
  </si>
  <si>
    <t>I100425</t>
  </si>
  <si>
    <t>C386315</t>
  </si>
  <si>
    <t>I100426</t>
  </si>
  <si>
    <t>C133701</t>
  </si>
  <si>
    <t>I100434</t>
  </si>
  <si>
    <t>C295965</t>
  </si>
  <si>
    <t>I100439</t>
  </si>
  <si>
    <t>C224698</t>
  </si>
  <si>
    <t>I100441</t>
  </si>
  <si>
    <t>C202089</t>
  </si>
  <si>
    <t>I100443</t>
  </si>
  <si>
    <t>C826051</t>
  </si>
  <si>
    <t>I100445</t>
  </si>
  <si>
    <t>C307576</t>
  </si>
  <si>
    <t>I100454</t>
  </si>
  <si>
    <t>C851133</t>
  </si>
  <si>
    <t>I100455</t>
  </si>
  <si>
    <t>C191387</t>
  </si>
  <si>
    <t>I100458</t>
  </si>
  <si>
    <t>C150447</t>
  </si>
  <si>
    <t>I100459</t>
  </si>
  <si>
    <t>C194835</t>
  </si>
  <si>
    <t>I100462</t>
  </si>
  <si>
    <t>C363980</t>
  </si>
  <si>
    <t>I100464</t>
  </si>
  <si>
    <t>C129826</t>
  </si>
  <si>
    <t>I100465</t>
  </si>
  <si>
    <t>C211946</t>
  </si>
  <si>
    <t>I100466</t>
  </si>
  <si>
    <t>C235798</t>
  </si>
  <si>
    <t>I100470</t>
  </si>
  <si>
    <t>C219411</t>
  </si>
  <si>
    <t>I100472</t>
  </si>
  <si>
    <t>C176862</t>
  </si>
  <si>
    <t>I100473</t>
  </si>
  <si>
    <t>C607315</t>
  </si>
  <si>
    <t>I100484</t>
  </si>
  <si>
    <t>C135857</t>
  </si>
  <si>
    <t>I100487</t>
  </si>
  <si>
    <t>C213360</t>
  </si>
  <si>
    <t>I100491</t>
  </si>
  <si>
    <t>C212593</t>
  </si>
  <si>
    <t>I100494</t>
  </si>
  <si>
    <t>C227575</t>
  </si>
  <si>
    <t>I100496</t>
  </si>
  <si>
    <t>C174558</t>
  </si>
  <si>
    <t>I100498</t>
  </si>
  <si>
    <t>C498727</t>
  </si>
  <si>
    <t>I100499</t>
  </si>
  <si>
    <t>C114407</t>
  </si>
  <si>
    <t>I100501</t>
  </si>
  <si>
    <t>C338282</t>
  </si>
  <si>
    <t>I100502</t>
  </si>
  <si>
    <t>C238358</t>
  </si>
  <si>
    <t>I100504</t>
  </si>
  <si>
    <t>C703075</t>
  </si>
  <si>
    <t>I100508</t>
  </si>
  <si>
    <t>C249896</t>
  </si>
  <si>
    <t>I100512</t>
  </si>
  <si>
    <t>C208841</t>
  </si>
  <si>
    <t>I100519</t>
  </si>
  <si>
    <t>C233898</t>
  </si>
  <si>
    <t>I100522</t>
  </si>
  <si>
    <t>C100218</t>
  </si>
  <si>
    <t>I100526</t>
  </si>
  <si>
    <t>C356129</t>
  </si>
  <si>
    <t>I100527</t>
  </si>
  <si>
    <t>C274542</t>
  </si>
  <si>
    <t>I100537</t>
  </si>
  <si>
    <t>C392460</t>
  </si>
  <si>
    <t>I100538</t>
  </si>
  <si>
    <t>C312561</t>
  </si>
  <si>
    <t>I100540</t>
  </si>
  <si>
    <t>C641482</t>
  </si>
  <si>
    <t>I100541</t>
  </si>
  <si>
    <t>C155234</t>
  </si>
  <si>
    <t>I100542</t>
  </si>
  <si>
    <t>C273404</t>
  </si>
  <si>
    <t>I100543</t>
  </si>
  <si>
    <t>C193964</t>
  </si>
  <si>
    <t>I100547</t>
  </si>
  <si>
    <t>C173500</t>
  </si>
  <si>
    <t>I100550</t>
  </si>
  <si>
    <t>C123577</t>
  </si>
  <si>
    <t>I100552</t>
  </si>
  <si>
    <t>C213606</t>
  </si>
  <si>
    <t>I100555</t>
  </si>
  <si>
    <t>C701082</t>
  </si>
  <si>
    <t>I100558</t>
  </si>
  <si>
    <t>C209906</t>
  </si>
  <si>
    <t>I100561</t>
  </si>
  <si>
    <t>C255643</t>
  </si>
  <si>
    <t>I100565</t>
  </si>
  <si>
    <t>C833577</t>
  </si>
  <si>
    <t>I100566</t>
  </si>
  <si>
    <t>C266257</t>
  </si>
  <si>
    <t>I100567</t>
  </si>
  <si>
    <t>C272165</t>
  </si>
  <si>
    <t>I100571</t>
  </si>
  <si>
    <t>C668914</t>
  </si>
  <si>
    <t>I100572</t>
  </si>
  <si>
    <t>C245347</t>
  </si>
  <si>
    <t>I100578</t>
  </si>
  <si>
    <t>C108143</t>
  </si>
  <si>
    <t>I100579</t>
  </si>
  <si>
    <t>C260481</t>
  </si>
  <si>
    <t>I100580</t>
  </si>
  <si>
    <t>C131158</t>
  </si>
  <si>
    <t>I100582</t>
  </si>
  <si>
    <t>C638859</t>
  </si>
  <si>
    <t>I100586</t>
  </si>
  <si>
    <t>C580838</t>
  </si>
  <si>
    <t>I100591</t>
  </si>
  <si>
    <t>C881158</t>
  </si>
  <si>
    <t>I100593</t>
  </si>
  <si>
    <t>C240318</t>
  </si>
  <si>
    <t>I100599</t>
  </si>
  <si>
    <t>C114161</t>
  </si>
  <si>
    <t>I100601</t>
  </si>
  <si>
    <t>C180415</t>
  </si>
  <si>
    <t>I100607</t>
  </si>
  <si>
    <t>C315778</t>
  </si>
  <si>
    <t>I100610</t>
  </si>
  <si>
    <t>C122598</t>
  </si>
  <si>
    <t>I100611</t>
  </si>
  <si>
    <t>C234086</t>
  </si>
  <si>
    <t>I100614</t>
  </si>
  <si>
    <t>C261517</t>
  </si>
  <si>
    <t>I100615</t>
  </si>
  <si>
    <t>C197426</t>
  </si>
  <si>
    <t>I100617</t>
  </si>
  <si>
    <t>C745941</t>
  </si>
  <si>
    <t>I100618</t>
  </si>
  <si>
    <t>C911820</t>
  </si>
  <si>
    <t>I100622</t>
  </si>
  <si>
    <t>C306817</t>
  </si>
  <si>
    <t>I100624</t>
  </si>
  <si>
    <t>C552809</t>
  </si>
  <si>
    <t>I100627</t>
  </si>
  <si>
    <t>C132581</t>
  </si>
  <si>
    <t>I100628</t>
  </si>
  <si>
    <t>C135129</t>
  </si>
  <si>
    <t>I100630</t>
  </si>
  <si>
    <t>C753708</t>
  </si>
  <si>
    <t>I100634</t>
  </si>
  <si>
    <t>C461631</t>
  </si>
  <si>
    <t>I100635</t>
  </si>
  <si>
    <t>C289537</t>
  </si>
  <si>
    <t>I100639</t>
  </si>
  <si>
    <t>C231484</t>
  </si>
  <si>
    <t>I100651</t>
  </si>
  <si>
    <t>C180588</t>
  </si>
  <si>
    <t>I100652</t>
  </si>
  <si>
    <t>C214732</t>
  </si>
  <si>
    <t>I100656</t>
  </si>
  <si>
    <t>C337441</t>
  </si>
  <si>
    <t>I100659</t>
  </si>
  <si>
    <t>C562791</t>
  </si>
  <si>
    <t>I100663</t>
  </si>
  <si>
    <t>C322131</t>
  </si>
  <si>
    <t>I100664</t>
  </si>
  <si>
    <t>C603641</t>
  </si>
  <si>
    <t>I100666</t>
  </si>
  <si>
    <t>C996052</t>
  </si>
  <si>
    <t>I100671</t>
  </si>
  <si>
    <t>C284324</t>
  </si>
  <si>
    <t>I100682</t>
  </si>
  <si>
    <t>C134970</t>
  </si>
  <si>
    <t>I100684</t>
  </si>
  <si>
    <t>C175424</t>
  </si>
  <si>
    <t>I100685</t>
  </si>
  <si>
    <t>C263059</t>
  </si>
  <si>
    <t>I100691</t>
  </si>
  <si>
    <t>C116434</t>
  </si>
  <si>
    <t>I100694</t>
  </si>
  <si>
    <t>C318405</t>
  </si>
  <si>
    <t>I100696</t>
  </si>
  <si>
    <t>C131827</t>
  </si>
  <si>
    <t>I100697</t>
  </si>
  <si>
    <t>C159194</t>
  </si>
  <si>
    <t>I100699</t>
  </si>
  <si>
    <t>C844692</t>
  </si>
  <si>
    <t>I100700</t>
  </si>
  <si>
    <t>C831975</t>
  </si>
  <si>
    <t>I100703</t>
  </si>
  <si>
    <t>C263996</t>
  </si>
  <si>
    <t>I100704</t>
  </si>
  <si>
    <t>C864065</t>
  </si>
  <si>
    <t>I100709</t>
  </si>
  <si>
    <t>C156430</t>
  </si>
  <si>
    <t>I100719</t>
  </si>
  <si>
    <t>C193403</t>
  </si>
  <si>
    <t>I100721</t>
  </si>
  <si>
    <t>C993556</t>
  </si>
  <si>
    <t>I100723</t>
  </si>
  <si>
    <t>C150582</t>
  </si>
  <si>
    <t>I100731</t>
  </si>
  <si>
    <t>C868764</t>
  </si>
  <si>
    <t>I100733</t>
  </si>
  <si>
    <t>C932952</t>
  </si>
  <si>
    <t>I100735</t>
  </si>
  <si>
    <t>C107829</t>
  </si>
  <si>
    <t>I100738</t>
  </si>
  <si>
    <t>C155129</t>
  </si>
  <si>
    <t>I100741</t>
  </si>
  <si>
    <t>C828874</t>
  </si>
  <si>
    <t>I100742</t>
  </si>
  <si>
    <t>C422142</t>
  </si>
  <si>
    <t>I100744</t>
  </si>
  <si>
    <t>C146601</t>
  </si>
  <si>
    <t>I100749</t>
  </si>
  <si>
    <t>C272878</t>
  </si>
  <si>
    <t>I100756</t>
  </si>
  <si>
    <t>C771102</t>
  </si>
  <si>
    <t>I100760</t>
  </si>
  <si>
    <t>C800785</t>
  </si>
  <si>
    <t>I100762</t>
  </si>
  <si>
    <t>C183883</t>
  </si>
  <si>
    <t>I100763</t>
  </si>
  <si>
    <t>C264447</t>
  </si>
  <si>
    <t>I100764</t>
  </si>
  <si>
    <t>C564073</t>
  </si>
  <si>
    <t>I100768</t>
  </si>
  <si>
    <t>C223065</t>
  </si>
  <si>
    <t>I100770</t>
  </si>
  <si>
    <t>C140792</t>
  </si>
  <si>
    <t>I100771</t>
  </si>
  <si>
    <t>C235228</t>
  </si>
  <si>
    <t>I100775</t>
  </si>
  <si>
    <t>C981100</t>
  </si>
  <si>
    <t>I100777</t>
  </si>
  <si>
    <t>C303252</t>
  </si>
  <si>
    <t>I100780</t>
  </si>
  <si>
    <t>C191396</t>
  </si>
  <si>
    <t>I100782</t>
  </si>
  <si>
    <t>C582964</t>
  </si>
  <si>
    <t>I100791</t>
  </si>
  <si>
    <t>C289735</t>
  </si>
  <si>
    <t>I100793</t>
  </si>
  <si>
    <t>C328805</t>
  </si>
  <si>
    <t>I100795</t>
  </si>
  <si>
    <t>C232822</t>
  </si>
  <si>
    <t>I100797</t>
  </si>
  <si>
    <t>C224221</t>
  </si>
  <si>
    <t>I100803</t>
  </si>
  <si>
    <t>C273636</t>
  </si>
  <si>
    <t>I100812</t>
  </si>
  <si>
    <t>C208761</t>
  </si>
  <si>
    <t>I100813</t>
  </si>
  <si>
    <t>C250804</t>
  </si>
  <si>
    <t>I100814</t>
  </si>
  <si>
    <t>C130818</t>
  </si>
  <si>
    <t>I100815</t>
  </si>
  <si>
    <t>C222582</t>
  </si>
  <si>
    <t>I100818</t>
  </si>
  <si>
    <t>C151068</t>
  </si>
  <si>
    <t>I100820</t>
  </si>
  <si>
    <t>C180870</t>
  </si>
  <si>
    <t>I100822</t>
  </si>
  <si>
    <t>C336505</t>
  </si>
  <si>
    <t>I100829</t>
  </si>
  <si>
    <t>C115788</t>
  </si>
  <si>
    <t>I100835</t>
  </si>
  <si>
    <t>C259176</t>
  </si>
  <si>
    <t>I100837</t>
  </si>
  <si>
    <t>C827434</t>
  </si>
  <si>
    <t>I100842</t>
  </si>
  <si>
    <t>C143467</t>
  </si>
  <si>
    <t>I100843</t>
  </si>
  <si>
    <t>C170564</t>
  </si>
  <si>
    <t>I100851</t>
  </si>
  <si>
    <t>C256797</t>
  </si>
  <si>
    <t>I100855</t>
  </si>
  <si>
    <t>C125109</t>
  </si>
  <si>
    <t>I100856</t>
  </si>
  <si>
    <t>C475330</t>
  </si>
  <si>
    <t>I100861</t>
  </si>
  <si>
    <t>C281937</t>
  </si>
  <si>
    <t>I100863</t>
  </si>
  <si>
    <t>C302400</t>
  </si>
  <si>
    <t>I100865</t>
  </si>
  <si>
    <t>C234663</t>
  </si>
  <si>
    <t>I100866</t>
  </si>
  <si>
    <t>C265260</t>
  </si>
  <si>
    <t>I100870</t>
  </si>
  <si>
    <t>C236060</t>
  </si>
  <si>
    <t>I100875</t>
  </si>
  <si>
    <t>C232349</t>
  </si>
  <si>
    <t>I100880</t>
  </si>
  <si>
    <t>C217725</t>
  </si>
  <si>
    <t>I100881</t>
  </si>
  <si>
    <t>C332806</t>
  </si>
  <si>
    <t>I100884</t>
  </si>
  <si>
    <t>C729531</t>
  </si>
  <si>
    <t>I100885</t>
  </si>
  <si>
    <t>C102033</t>
  </si>
  <si>
    <t>I100886</t>
  </si>
  <si>
    <t>C676444</t>
  </si>
  <si>
    <t>I100897</t>
  </si>
  <si>
    <t>C402407</t>
  </si>
  <si>
    <t>I100899</t>
  </si>
  <si>
    <t>C256232</t>
  </si>
  <si>
    <t>I100900</t>
  </si>
  <si>
    <t>C221280</t>
  </si>
  <si>
    <t>I100901</t>
  </si>
  <si>
    <t>C178198</t>
  </si>
  <si>
    <t>I100903</t>
  </si>
  <si>
    <t>C702152</t>
  </si>
  <si>
    <t>I100904</t>
  </si>
  <si>
    <t>C138573</t>
  </si>
  <si>
    <t>I100911</t>
  </si>
  <si>
    <t>C330379</t>
  </si>
  <si>
    <t>I100913</t>
  </si>
  <si>
    <t>C229817</t>
  </si>
  <si>
    <t>I100914</t>
  </si>
  <si>
    <t>C299493</t>
  </si>
  <si>
    <t>I100919</t>
  </si>
  <si>
    <t>C189282</t>
  </si>
  <si>
    <t>I100921</t>
  </si>
  <si>
    <t>C323178</t>
  </si>
  <si>
    <t>I100922</t>
  </si>
  <si>
    <t>C185007</t>
  </si>
  <si>
    <t>I100923</t>
  </si>
  <si>
    <t>C139812</t>
  </si>
  <si>
    <t>I100929</t>
  </si>
  <si>
    <t>C224506</t>
  </si>
  <si>
    <t>I100932</t>
  </si>
  <si>
    <t>C204475</t>
  </si>
  <si>
    <t>I100936</t>
  </si>
  <si>
    <t>C331442</t>
  </si>
  <si>
    <t>I100953</t>
  </si>
  <si>
    <t>C250015</t>
  </si>
  <si>
    <t>I100960</t>
  </si>
  <si>
    <t>C156642</t>
  </si>
  <si>
    <t>I100961</t>
  </si>
  <si>
    <t>C157517</t>
  </si>
  <si>
    <t>I100963</t>
  </si>
  <si>
    <t>C500323</t>
  </si>
  <si>
    <t>I100964</t>
  </si>
  <si>
    <t>C253827</t>
  </si>
  <si>
    <t>I100965</t>
  </si>
  <si>
    <t>C336119</t>
  </si>
  <si>
    <t>I100969</t>
  </si>
  <si>
    <t>C242347</t>
  </si>
  <si>
    <t>I100977</t>
  </si>
  <si>
    <t>C221903</t>
  </si>
  <si>
    <t>I100978</t>
  </si>
  <si>
    <t>C172330</t>
  </si>
  <si>
    <t>I100981</t>
  </si>
  <si>
    <t>C116368</t>
  </si>
  <si>
    <t>I100983</t>
  </si>
  <si>
    <t>C203462</t>
  </si>
  <si>
    <t>I100988</t>
  </si>
  <si>
    <t>C202289</t>
  </si>
  <si>
    <t>I100991</t>
  </si>
  <si>
    <t>C326660</t>
  </si>
  <si>
    <t>I100998</t>
  </si>
  <si>
    <t>C253884</t>
  </si>
  <si>
    <t>I101008</t>
  </si>
  <si>
    <t>C314812</t>
  </si>
  <si>
    <t>I101010</t>
  </si>
  <si>
    <t>C766878</t>
  </si>
  <si>
    <t>I101017</t>
  </si>
  <si>
    <t>C124932</t>
  </si>
  <si>
    <t>I101018</t>
  </si>
  <si>
    <t>C266367</t>
  </si>
  <si>
    <t>I101022</t>
  </si>
  <si>
    <t>C237146</t>
  </si>
  <si>
    <t>I101031</t>
  </si>
  <si>
    <t>C215753</t>
  </si>
  <si>
    <t>I101034</t>
  </si>
  <si>
    <t>C722304</t>
  </si>
  <si>
    <t>I101037</t>
  </si>
  <si>
    <t>C216533</t>
  </si>
  <si>
    <t>I101038</t>
  </si>
  <si>
    <t>C144914</t>
  </si>
  <si>
    <t>I101043</t>
  </si>
  <si>
    <t>C289681</t>
  </si>
  <si>
    <t>I101048</t>
  </si>
  <si>
    <t>C186345</t>
  </si>
  <si>
    <t>I101051</t>
  </si>
  <si>
    <t>C722098</t>
  </si>
  <si>
    <t>I101052</t>
  </si>
  <si>
    <t>C844541</t>
  </si>
  <si>
    <t>I101059</t>
  </si>
  <si>
    <t>C236719</t>
  </si>
  <si>
    <t>I101060</t>
  </si>
  <si>
    <t>C131806</t>
  </si>
  <si>
    <t>I101070</t>
  </si>
  <si>
    <t>C330130</t>
  </si>
  <si>
    <t>I101083</t>
  </si>
  <si>
    <t>C165321</t>
  </si>
  <si>
    <t>I101084</t>
  </si>
  <si>
    <t>C943266</t>
  </si>
  <si>
    <t>I101086</t>
  </si>
  <si>
    <t>C168165</t>
  </si>
  <si>
    <t>I101088</t>
  </si>
  <si>
    <t>C824542</t>
  </si>
  <si>
    <t>I101089</t>
  </si>
  <si>
    <t>C392188</t>
  </si>
  <si>
    <t>I101093</t>
  </si>
  <si>
    <t>C301696</t>
  </si>
  <si>
    <t>I101103</t>
  </si>
  <si>
    <t>C194266</t>
  </si>
  <si>
    <t>I101113</t>
  </si>
  <si>
    <t>C315161</t>
  </si>
  <si>
    <t>I101115</t>
  </si>
  <si>
    <t>C540954</t>
  </si>
  <si>
    <t>I101130</t>
  </si>
  <si>
    <t>C298295</t>
  </si>
  <si>
    <t>I101131</t>
  </si>
  <si>
    <t>C329519</t>
  </si>
  <si>
    <t>I101133</t>
  </si>
  <si>
    <t>C270664</t>
  </si>
  <si>
    <t>I101135</t>
  </si>
  <si>
    <t>C689947</t>
  </si>
  <si>
    <t>I101140</t>
  </si>
  <si>
    <t>C122069</t>
  </si>
  <si>
    <t>I101143</t>
  </si>
  <si>
    <t>C293655</t>
  </si>
  <si>
    <t>I101146</t>
  </si>
  <si>
    <t>C303865</t>
  </si>
  <si>
    <t>I101148</t>
  </si>
  <si>
    <t>C680169</t>
  </si>
  <si>
    <t>I101152</t>
  </si>
  <si>
    <t>C276049</t>
  </si>
  <si>
    <t>I101154</t>
  </si>
  <si>
    <t>C453116</t>
  </si>
  <si>
    <t>I101155</t>
  </si>
  <si>
    <t>C114131</t>
  </si>
  <si>
    <t>I101156</t>
  </si>
  <si>
    <t>C251408</t>
  </si>
  <si>
    <t>I101165</t>
  </si>
  <si>
    <t>C325003</t>
  </si>
  <si>
    <t>I101167</t>
  </si>
  <si>
    <t>C492992</t>
  </si>
  <si>
    <t>I101171</t>
  </si>
  <si>
    <t>C786797</t>
  </si>
  <si>
    <t>I101176</t>
  </si>
  <si>
    <t>C195529</t>
  </si>
  <si>
    <t>I101181</t>
  </si>
  <si>
    <t>C167199</t>
  </si>
  <si>
    <t>I101183</t>
  </si>
  <si>
    <t>C274709</t>
  </si>
  <si>
    <t>I101185</t>
  </si>
  <si>
    <t>C269338</t>
  </si>
  <si>
    <t>I101189</t>
  </si>
  <si>
    <t>C301407</t>
  </si>
  <si>
    <t>I101190</t>
  </si>
  <si>
    <t>C115198</t>
  </si>
  <si>
    <t>I101192</t>
  </si>
  <si>
    <t>C298571</t>
  </si>
  <si>
    <t>I101193</t>
  </si>
  <si>
    <t>C298074</t>
  </si>
  <si>
    <t>I101201</t>
  </si>
  <si>
    <t>C296680</t>
  </si>
  <si>
    <t>I101204</t>
  </si>
  <si>
    <t>C147656</t>
  </si>
  <si>
    <t>I101210</t>
  </si>
  <si>
    <t>C316485</t>
  </si>
  <si>
    <t>I101214</t>
  </si>
  <si>
    <t>C229296</t>
  </si>
  <si>
    <t>I101219</t>
  </si>
  <si>
    <t>C296170</t>
  </si>
  <si>
    <t>I101220</t>
  </si>
  <si>
    <t>C322664</t>
  </si>
  <si>
    <t>I101229</t>
  </si>
  <si>
    <t>C256902</t>
  </si>
  <si>
    <t>I101237</t>
  </si>
  <si>
    <t>C239679</t>
  </si>
  <si>
    <t>I101239</t>
  </si>
  <si>
    <t>C362001</t>
  </si>
  <si>
    <t>I101247</t>
  </si>
  <si>
    <t>C178321</t>
  </si>
  <si>
    <t>I101252</t>
  </si>
  <si>
    <t>C998123</t>
  </si>
  <si>
    <t>I101255</t>
  </si>
  <si>
    <t>C164171</t>
  </si>
  <si>
    <t>I101256</t>
  </si>
  <si>
    <t>C129775</t>
  </si>
  <si>
    <t>I101263</t>
  </si>
  <si>
    <t>C268120</t>
  </si>
  <si>
    <t>I101279</t>
  </si>
  <si>
    <t>C237894</t>
  </si>
  <si>
    <t>I101280</t>
  </si>
  <si>
    <t>C663744</t>
  </si>
  <si>
    <t>I101281</t>
  </si>
  <si>
    <t>C177781</t>
  </si>
  <si>
    <t>I101282</t>
  </si>
  <si>
    <t>C317379</t>
  </si>
  <si>
    <t>I101283</t>
  </si>
  <si>
    <t>C294350</t>
  </si>
  <si>
    <t>I101288</t>
  </si>
  <si>
    <t>C476777</t>
  </si>
  <si>
    <t>I101290</t>
  </si>
  <si>
    <t>C208569</t>
  </si>
  <si>
    <t>I101296</t>
  </si>
  <si>
    <t>C132787</t>
  </si>
  <si>
    <t>I101301</t>
  </si>
  <si>
    <t>C211329</t>
  </si>
  <si>
    <t>I101305</t>
  </si>
  <si>
    <t>C131548</t>
  </si>
  <si>
    <t>I101306</t>
  </si>
  <si>
    <t>C162468</t>
  </si>
  <si>
    <t>I101308</t>
  </si>
  <si>
    <t>C551127</t>
  </si>
  <si>
    <t>I101312</t>
  </si>
  <si>
    <t>C261678</t>
  </si>
  <si>
    <t>I101313</t>
  </si>
  <si>
    <t>C463777</t>
  </si>
  <si>
    <t>I101314</t>
  </si>
  <si>
    <t>C995203</t>
  </si>
  <si>
    <t>I101316</t>
  </si>
  <si>
    <t>C100544</t>
  </si>
  <si>
    <t>I101318</t>
  </si>
  <si>
    <t>C156439</t>
  </si>
  <si>
    <t>I101320</t>
  </si>
  <si>
    <t>C264902</t>
  </si>
  <si>
    <t>I101325</t>
  </si>
  <si>
    <t>C101956</t>
  </si>
  <si>
    <t>I101328</t>
  </si>
  <si>
    <t>C468550</t>
  </si>
  <si>
    <t>I101339</t>
  </si>
  <si>
    <t>C162091</t>
  </si>
  <si>
    <t>I101343</t>
  </si>
  <si>
    <t>C180911</t>
  </si>
  <si>
    <t>I101344</t>
  </si>
  <si>
    <t>C107378</t>
  </si>
  <si>
    <t>I101347</t>
  </si>
  <si>
    <t>C280063</t>
  </si>
  <si>
    <t>I101348</t>
  </si>
  <si>
    <t>C126235</t>
  </si>
  <si>
    <t>I101351</t>
  </si>
  <si>
    <t>C726291</t>
  </si>
  <si>
    <t>I101352</t>
  </si>
  <si>
    <t>C548721</t>
  </si>
  <si>
    <t>I101353</t>
  </si>
  <si>
    <t>C246402</t>
  </si>
  <si>
    <t>I101354</t>
  </si>
  <si>
    <t>C235189</t>
  </si>
  <si>
    <t>I101356</t>
  </si>
  <si>
    <t>C227436</t>
  </si>
  <si>
    <t>I101359</t>
  </si>
  <si>
    <t>C269676</t>
  </si>
  <si>
    <t>I101360</t>
  </si>
  <si>
    <t>C540352</t>
  </si>
  <si>
    <t>I101361</t>
  </si>
  <si>
    <t>C184579</t>
  </si>
  <si>
    <t>I101363</t>
  </si>
  <si>
    <t>C182070</t>
  </si>
  <si>
    <t>I101366</t>
  </si>
  <si>
    <t>C927671</t>
  </si>
  <si>
    <t>I101368</t>
  </si>
  <si>
    <t>C236364</t>
  </si>
  <si>
    <t>I101370</t>
  </si>
  <si>
    <t>C313925</t>
  </si>
  <si>
    <t>I101372</t>
  </si>
  <si>
    <t>C180019</t>
  </si>
  <si>
    <t>I101378</t>
  </si>
  <si>
    <t>C241757</t>
  </si>
  <si>
    <t>I101379</t>
  </si>
  <si>
    <t>C275478</t>
  </si>
  <si>
    <t>I101383</t>
  </si>
  <si>
    <t>C151482</t>
  </si>
  <si>
    <t>I101390</t>
  </si>
  <si>
    <t>C314514</t>
  </si>
  <si>
    <t>I101393</t>
  </si>
  <si>
    <t>C109321</t>
  </si>
  <si>
    <t>I101394</t>
  </si>
  <si>
    <t>C321439</t>
  </si>
  <si>
    <t>I101398</t>
  </si>
  <si>
    <t>C152504</t>
  </si>
  <si>
    <t>I101407</t>
  </si>
  <si>
    <t>C323409</t>
  </si>
  <si>
    <t>I101409</t>
  </si>
  <si>
    <t>C431191</t>
  </si>
  <si>
    <t>I101410</t>
  </si>
  <si>
    <t>C177708</t>
  </si>
  <si>
    <t>I101414</t>
  </si>
  <si>
    <t>C104129</t>
  </si>
  <si>
    <t>I101418</t>
  </si>
  <si>
    <t>C127683</t>
  </si>
  <si>
    <t>I101419</t>
  </si>
  <si>
    <t>C502529</t>
  </si>
  <si>
    <t>I101423</t>
  </si>
  <si>
    <t>C666388</t>
  </si>
  <si>
    <t>I101426</t>
  </si>
  <si>
    <t>C262766</t>
  </si>
  <si>
    <t>I101428</t>
  </si>
  <si>
    <t>C197332</t>
  </si>
  <si>
    <t>I101429</t>
  </si>
  <si>
    <t>C148693</t>
  </si>
  <si>
    <t>I101433</t>
  </si>
  <si>
    <t>C208860</t>
  </si>
  <si>
    <t>I101434</t>
  </si>
  <si>
    <t>C310631</t>
  </si>
  <si>
    <t>I101435</t>
  </si>
  <si>
    <t>C245633</t>
  </si>
  <si>
    <t>I101442</t>
  </si>
  <si>
    <t>C837574</t>
  </si>
  <si>
    <t>I101444</t>
  </si>
  <si>
    <t>C335486</t>
  </si>
  <si>
    <t>I101445</t>
  </si>
  <si>
    <t>C171342</t>
  </si>
  <si>
    <t>I101449</t>
  </si>
  <si>
    <t>C220137</t>
  </si>
  <si>
    <t>I101452</t>
  </si>
  <si>
    <t>C231594</t>
  </si>
  <si>
    <t>I101453</t>
  </si>
  <si>
    <t>C666613</t>
  </si>
  <si>
    <t>I101454</t>
  </si>
  <si>
    <t>C118691</t>
  </si>
  <si>
    <t>I101455</t>
  </si>
  <si>
    <t>C154531</t>
  </si>
  <si>
    <t>I101456</t>
  </si>
  <si>
    <t>C283434</t>
  </si>
  <si>
    <t>I101458</t>
  </si>
  <si>
    <t>C113888</t>
  </si>
  <si>
    <t>I101460</t>
  </si>
  <si>
    <t>C247762</t>
  </si>
  <si>
    <t>I101465</t>
  </si>
  <si>
    <t>C250819</t>
  </si>
  <si>
    <t>I101466</t>
  </si>
  <si>
    <t>C314331</t>
  </si>
  <si>
    <t>I101467</t>
  </si>
  <si>
    <t>C155383</t>
  </si>
  <si>
    <t>I101472</t>
  </si>
  <si>
    <t>C216194</t>
  </si>
  <si>
    <t>I101475</t>
  </si>
  <si>
    <t>C204569</t>
  </si>
  <si>
    <t>I101476</t>
  </si>
  <si>
    <t>C295108</t>
  </si>
  <si>
    <t>I101480</t>
  </si>
  <si>
    <t>C145217</t>
  </si>
  <si>
    <t>I101483</t>
  </si>
  <si>
    <t>C670088</t>
  </si>
  <si>
    <t>I101489</t>
  </si>
  <si>
    <t>C287411</t>
  </si>
  <si>
    <t>I101498</t>
  </si>
  <si>
    <t>C431849</t>
  </si>
  <si>
    <t>I101499</t>
  </si>
  <si>
    <t>C208394</t>
  </si>
  <si>
    <t>I101509</t>
  </si>
  <si>
    <t>C416542</t>
  </si>
  <si>
    <t>I101511</t>
  </si>
  <si>
    <t>C286261</t>
  </si>
  <si>
    <t>I101512</t>
  </si>
  <si>
    <t>C657278</t>
  </si>
  <si>
    <t>I101518</t>
  </si>
  <si>
    <t>C107937</t>
  </si>
  <si>
    <t>I101520</t>
  </si>
  <si>
    <t>C260507</t>
  </si>
  <si>
    <t>I101521</t>
  </si>
  <si>
    <t>C234258</t>
  </si>
  <si>
    <t>I101525</t>
  </si>
  <si>
    <t>C616099</t>
  </si>
  <si>
    <t>I101526</t>
  </si>
  <si>
    <t>C332894</t>
  </si>
  <si>
    <t>I101528</t>
  </si>
  <si>
    <t>C149902</t>
  </si>
  <si>
    <t>I101529</t>
  </si>
  <si>
    <t>C203227</t>
  </si>
  <si>
    <t>I101532</t>
  </si>
  <si>
    <t>C128002</t>
  </si>
  <si>
    <t>I101535</t>
  </si>
  <si>
    <t>C219503</t>
  </si>
  <si>
    <t>I101536</t>
  </si>
  <si>
    <t>C323102</t>
  </si>
  <si>
    <t>I101537</t>
  </si>
  <si>
    <t>C168070</t>
  </si>
  <si>
    <t>I101541</t>
  </si>
  <si>
    <t>C210572</t>
  </si>
  <si>
    <t>I101544</t>
  </si>
  <si>
    <t>C208879</t>
  </si>
  <si>
    <t>I101546</t>
  </si>
  <si>
    <t>C121708</t>
  </si>
  <si>
    <t>I101549</t>
  </si>
  <si>
    <t>C311614</t>
  </si>
  <si>
    <t>I101551</t>
  </si>
  <si>
    <t>C164448</t>
  </si>
  <si>
    <t>I101554</t>
  </si>
  <si>
    <t>C273482</t>
  </si>
  <si>
    <t>I101555</t>
  </si>
  <si>
    <t>C758873</t>
  </si>
  <si>
    <t>I101569</t>
  </si>
  <si>
    <t>C148240</t>
  </si>
  <si>
    <t>I101572</t>
  </si>
  <si>
    <t>C210353</t>
  </si>
  <si>
    <t>I101573</t>
  </si>
  <si>
    <t>C150669</t>
  </si>
  <si>
    <t>I101574</t>
  </si>
  <si>
    <t>C178897</t>
  </si>
  <si>
    <t>I101576</t>
  </si>
  <si>
    <t>C262719</t>
  </si>
  <si>
    <t>I101578</t>
  </si>
  <si>
    <t>C302346</t>
  </si>
  <si>
    <t>I101580</t>
  </si>
  <si>
    <t>C266174</t>
  </si>
  <si>
    <t>I101585</t>
  </si>
  <si>
    <t>C157226</t>
  </si>
  <si>
    <t>I101587</t>
  </si>
  <si>
    <t>C434876</t>
  </si>
  <si>
    <t>I101588</t>
  </si>
  <si>
    <t>C769285</t>
  </si>
  <si>
    <t>I101592</t>
  </si>
  <si>
    <t>C228966</t>
  </si>
  <si>
    <t>I101594</t>
  </si>
  <si>
    <t>C117752</t>
  </si>
  <si>
    <t>I101596</t>
  </si>
  <si>
    <t>C309263</t>
  </si>
  <si>
    <t>I101598</t>
  </si>
  <si>
    <t>C338372</t>
  </si>
  <si>
    <t>I101603</t>
  </si>
  <si>
    <t>C309591</t>
  </si>
  <si>
    <t>I101605</t>
  </si>
  <si>
    <t>C756859</t>
  </si>
  <si>
    <t>I101606</t>
  </si>
  <si>
    <t>C279630</t>
  </si>
  <si>
    <t>I101612</t>
  </si>
  <si>
    <t>C185174</t>
  </si>
  <si>
    <t>I101618</t>
  </si>
  <si>
    <t>C203219</t>
  </si>
  <si>
    <t>I101620</t>
  </si>
  <si>
    <t>C104200</t>
  </si>
  <si>
    <t>I101621</t>
  </si>
  <si>
    <t>C325188</t>
  </si>
  <si>
    <t>I101624</t>
  </si>
  <si>
    <t>C115743</t>
  </si>
  <si>
    <t>I101627</t>
  </si>
  <si>
    <t>C144374</t>
  </si>
  <si>
    <t>I101629</t>
  </si>
  <si>
    <t>C102585</t>
  </si>
  <si>
    <t>I101634</t>
  </si>
  <si>
    <t>C318714</t>
  </si>
  <si>
    <t>I101635</t>
  </si>
  <si>
    <t>C695700</t>
  </si>
  <si>
    <t>I101638</t>
  </si>
  <si>
    <t>C217867</t>
  </si>
  <si>
    <t>I101641</t>
  </si>
  <si>
    <t>C483550</t>
  </si>
  <si>
    <t>I101642</t>
  </si>
  <si>
    <t>C296856</t>
  </si>
  <si>
    <t>I101645</t>
  </si>
  <si>
    <t>C683241</t>
  </si>
  <si>
    <t>I101649</t>
  </si>
  <si>
    <t>C801987</t>
  </si>
  <si>
    <t>I101653</t>
  </si>
  <si>
    <t>C185129</t>
  </si>
  <si>
    <t>I101658</t>
  </si>
  <si>
    <t>C254846</t>
  </si>
  <si>
    <t>I101659</t>
  </si>
  <si>
    <t>C197249</t>
  </si>
  <si>
    <t>I101661</t>
  </si>
  <si>
    <t>C156543</t>
  </si>
  <si>
    <t>I101667</t>
  </si>
  <si>
    <t>C142998</t>
  </si>
  <si>
    <t>I101669</t>
  </si>
  <si>
    <t>C308898</t>
  </si>
  <si>
    <t>I101670</t>
  </si>
  <si>
    <t>C584201</t>
  </si>
  <si>
    <t>I101672</t>
  </si>
  <si>
    <t>C976493</t>
  </si>
  <si>
    <t>I101674</t>
  </si>
  <si>
    <t>C284838</t>
  </si>
  <si>
    <t>I101675</t>
  </si>
  <si>
    <t>C302289</t>
  </si>
  <si>
    <t>I101676</t>
  </si>
  <si>
    <t>C179567</t>
  </si>
  <si>
    <t>I101677</t>
  </si>
  <si>
    <t>C518156</t>
  </si>
  <si>
    <t>I101682</t>
  </si>
  <si>
    <t>C201671</t>
  </si>
  <si>
    <t>I101684</t>
  </si>
  <si>
    <t>C280909</t>
  </si>
  <si>
    <t>I101686</t>
  </si>
  <si>
    <t>C520399</t>
  </si>
  <si>
    <t>I101691</t>
  </si>
  <si>
    <t>C322262</t>
  </si>
  <si>
    <t>I101700</t>
  </si>
  <si>
    <t>C156564</t>
  </si>
  <si>
    <t>I101703</t>
  </si>
  <si>
    <t>C113813</t>
  </si>
  <si>
    <t>I101704</t>
  </si>
  <si>
    <t>C568729</t>
  </si>
  <si>
    <t>I101708</t>
  </si>
  <si>
    <t>C103055</t>
  </si>
  <si>
    <t>I101709</t>
  </si>
  <si>
    <t>C800815</t>
  </si>
  <si>
    <t>I101711</t>
  </si>
  <si>
    <t>C354279</t>
  </si>
  <si>
    <t>I101714</t>
  </si>
  <si>
    <t>C273113</t>
  </si>
  <si>
    <t>I101716</t>
  </si>
  <si>
    <t>C254712</t>
  </si>
  <si>
    <t>I101717</t>
  </si>
  <si>
    <t>C143132</t>
  </si>
  <si>
    <t>I101720</t>
  </si>
  <si>
    <t>C105307</t>
  </si>
  <si>
    <t>I101724</t>
  </si>
  <si>
    <t>C331264</t>
  </si>
  <si>
    <t>I101727</t>
  </si>
  <si>
    <t>C145580</t>
  </si>
  <si>
    <t>I101728</t>
  </si>
  <si>
    <t>C183537</t>
  </si>
  <si>
    <t>I101730</t>
  </si>
  <si>
    <t>C378627</t>
  </si>
  <si>
    <t>I101731</t>
  </si>
  <si>
    <t>C125296</t>
  </si>
  <si>
    <t>I101734</t>
  </si>
  <si>
    <t>C150574</t>
  </si>
  <si>
    <t>I101739</t>
  </si>
  <si>
    <t>C152510</t>
  </si>
  <si>
    <t>I101740</t>
  </si>
  <si>
    <t>C136633</t>
  </si>
  <si>
    <t>I101741</t>
  </si>
  <si>
    <t>C319933</t>
  </si>
  <si>
    <t>I101742</t>
  </si>
  <si>
    <t>C123907</t>
  </si>
  <si>
    <t>I101743</t>
  </si>
  <si>
    <t>C158928</t>
  </si>
  <si>
    <t>I101745</t>
  </si>
  <si>
    <t>C105559</t>
  </si>
  <si>
    <t>I101752</t>
  </si>
  <si>
    <t>C116715</t>
  </si>
  <si>
    <t>I101753</t>
  </si>
  <si>
    <t>C336142</t>
  </si>
  <si>
    <t>I101754</t>
  </si>
  <si>
    <t>C125307</t>
  </si>
  <si>
    <t>I101755</t>
  </si>
  <si>
    <t>C333796</t>
  </si>
  <si>
    <t>I101765</t>
  </si>
  <si>
    <t>C280567</t>
  </si>
  <si>
    <t>I101767</t>
  </si>
  <si>
    <t>C181289</t>
  </si>
  <si>
    <t>I101768</t>
  </si>
  <si>
    <t>C249684</t>
  </si>
  <si>
    <t>I101769</t>
  </si>
  <si>
    <t>C306686</t>
  </si>
  <si>
    <t>I101775</t>
  </si>
  <si>
    <t>C867251</t>
  </si>
  <si>
    <t>I101779</t>
  </si>
  <si>
    <t>C114592</t>
  </si>
  <si>
    <t>I101782</t>
  </si>
  <si>
    <t>C221270</t>
  </si>
  <si>
    <t>I101785</t>
  </si>
  <si>
    <t>C279161</t>
  </si>
  <si>
    <t>I101790</t>
  </si>
  <si>
    <t>C310170</t>
  </si>
  <si>
    <t>I101795</t>
  </si>
  <si>
    <t>C207950</t>
  </si>
  <si>
    <t>I101799</t>
  </si>
  <si>
    <t>C789602</t>
  </si>
  <si>
    <t>I101806</t>
  </si>
  <si>
    <t>C322425</t>
  </si>
  <si>
    <t>I101809</t>
  </si>
  <si>
    <t>C148190</t>
  </si>
  <si>
    <t>I101810</t>
  </si>
  <si>
    <t>C259949</t>
  </si>
  <si>
    <t>I101819</t>
  </si>
  <si>
    <t>C787263</t>
  </si>
  <si>
    <t>I101820</t>
  </si>
  <si>
    <t>C324317</t>
  </si>
  <si>
    <t>I101822</t>
  </si>
  <si>
    <t>C178709</t>
  </si>
  <si>
    <t>I101823</t>
  </si>
  <si>
    <t>C121785</t>
  </si>
  <si>
    <t>I101827</t>
  </si>
  <si>
    <t>C150375</t>
  </si>
  <si>
    <t>I101829</t>
  </si>
  <si>
    <t>C207614</t>
  </si>
  <si>
    <t>I101832</t>
  </si>
  <si>
    <t>C261194</t>
  </si>
  <si>
    <t>I101834</t>
  </si>
  <si>
    <t>C407525</t>
  </si>
  <si>
    <t>I101837</t>
  </si>
  <si>
    <t>C288430</t>
  </si>
  <si>
    <t>I101840</t>
  </si>
  <si>
    <t>C128251</t>
  </si>
  <si>
    <t>I101842</t>
  </si>
  <si>
    <t>C158131</t>
  </si>
  <si>
    <t>I101843</t>
  </si>
  <si>
    <t>C300621</t>
  </si>
  <si>
    <t>I101852</t>
  </si>
  <si>
    <t>C224985</t>
  </si>
  <si>
    <t>I101854</t>
  </si>
  <si>
    <t>C190002</t>
  </si>
  <si>
    <t>I101855</t>
  </si>
  <si>
    <t>C120734</t>
  </si>
  <si>
    <t>I101857</t>
  </si>
  <si>
    <t>C227245</t>
  </si>
  <si>
    <t>I101862</t>
  </si>
  <si>
    <t>C352919</t>
  </si>
  <si>
    <t>I101865</t>
  </si>
  <si>
    <t>C248634</t>
  </si>
  <si>
    <t>I101869</t>
  </si>
  <si>
    <t>C578801</t>
  </si>
  <si>
    <t>I101870</t>
  </si>
  <si>
    <t>C350587</t>
  </si>
  <si>
    <t>I101871</t>
  </si>
  <si>
    <t>C233682</t>
  </si>
  <si>
    <t>I101873</t>
  </si>
  <si>
    <t>C844870</t>
  </si>
  <si>
    <t>I101879</t>
  </si>
  <si>
    <t>C419320</t>
  </si>
  <si>
    <t>I101882</t>
  </si>
  <si>
    <t>C225381</t>
  </si>
  <si>
    <t>I101885</t>
  </si>
  <si>
    <t>C199456</t>
  </si>
  <si>
    <t>I101887</t>
  </si>
  <si>
    <t>C169919</t>
  </si>
  <si>
    <t>I101888</t>
  </si>
  <si>
    <t>C216076</t>
  </si>
  <si>
    <t>I101889</t>
  </si>
  <si>
    <t>C121577</t>
  </si>
  <si>
    <t>I101891</t>
  </si>
  <si>
    <t>C180405</t>
  </si>
  <si>
    <t>I101893</t>
  </si>
  <si>
    <t>C586871</t>
  </si>
  <si>
    <t>I101896</t>
  </si>
  <si>
    <t>C113243</t>
  </si>
  <si>
    <t>I101901</t>
  </si>
  <si>
    <t>C241557</t>
  </si>
  <si>
    <t>I101902</t>
  </si>
  <si>
    <t>C195949</t>
  </si>
  <si>
    <t>I101904</t>
  </si>
  <si>
    <t>C106038</t>
  </si>
  <si>
    <t>I101905</t>
  </si>
  <si>
    <t>C147666</t>
  </si>
  <si>
    <t>I101906</t>
  </si>
  <si>
    <t>C306258</t>
  </si>
  <si>
    <t>I101910</t>
  </si>
  <si>
    <t>C304301</t>
  </si>
  <si>
    <t>I101912</t>
  </si>
  <si>
    <t>C499795</t>
  </si>
  <si>
    <t>I101915</t>
  </si>
  <si>
    <t>C112646</t>
  </si>
  <si>
    <t>I101919</t>
  </si>
  <si>
    <t>C209103</t>
  </si>
  <si>
    <t>I101920</t>
  </si>
  <si>
    <t>C208660</t>
  </si>
  <si>
    <t>I101921</t>
  </si>
  <si>
    <t>C243839</t>
  </si>
  <si>
    <t>I101925</t>
  </si>
  <si>
    <t>C329689</t>
  </si>
  <si>
    <t>I101927</t>
  </si>
  <si>
    <t>C156809</t>
  </si>
  <si>
    <t>I101934</t>
  </si>
  <si>
    <t>C153128</t>
  </si>
  <si>
    <t>I101940</t>
  </si>
  <si>
    <t>C283119</t>
  </si>
  <si>
    <t>I101953</t>
  </si>
  <si>
    <t>C316666</t>
  </si>
  <si>
    <t>I101967</t>
  </si>
  <si>
    <t>C218507</t>
  </si>
  <si>
    <t>I101968</t>
  </si>
  <si>
    <t>C134978</t>
  </si>
  <si>
    <t>I101972</t>
  </si>
  <si>
    <t>C182834</t>
  </si>
  <si>
    <t>I101974</t>
  </si>
  <si>
    <t>C184510</t>
  </si>
  <si>
    <t>I101975</t>
  </si>
  <si>
    <t>C208782</t>
  </si>
  <si>
    <t>I101978</t>
  </si>
  <si>
    <t>C188650</t>
  </si>
  <si>
    <t>I101979</t>
  </si>
  <si>
    <t>C109876</t>
  </si>
  <si>
    <t>I101982</t>
  </si>
  <si>
    <t>C116333</t>
  </si>
  <si>
    <t>I101983</t>
  </si>
  <si>
    <t>C889640</t>
  </si>
  <si>
    <t>I101984</t>
  </si>
  <si>
    <t>C117381</t>
  </si>
  <si>
    <t>I101989</t>
  </si>
  <si>
    <t>C269810</t>
  </si>
  <si>
    <t>I101993</t>
  </si>
  <si>
    <t>C158626</t>
  </si>
  <si>
    <t>I101996</t>
  </si>
  <si>
    <t>C157238</t>
  </si>
  <si>
    <t>I102001</t>
  </si>
  <si>
    <t>C167373</t>
  </si>
  <si>
    <t>I102006</t>
  </si>
  <si>
    <t>C133645</t>
  </si>
  <si>
    <t>I102008</t>
  </si>
  <si>
    <t>C171022</t>
  </si>
  <si>
    <t>I102009</t>
  </si>
  <si>
    <t>C146739</t>
  </si>
  <si>
    <t>I102014</t>
  </si>
  <si>
    <t>C158673</t>
  </si>
  <si>
    <t>I102015</t>
  </si>
  <si>
    <t>C127328</t>
  </si>
  <si>
    <t>I102020</t>
  </si>
  <si>
    <t>C244182</t>
  </si>
  <si>
    <t>I102021</t>
  </si>
  <si>
    <t>C178086</t>
  </si>
  <si>
    <t>I102024</t>
  </si>
  <si>
    <t>C132062</t>
  </si>
  <si>
    <t>I102025</t>
  </si>
  <si>
    <t>C119370</t>
  </si>
  <si>
    <t>I102031</t>
  </si>
  <si>
    <t>C208014</t>
  </si>
  <si>
    <t>I102037</t>
  </si>
  <si>
    <t>C523688</t>
  </si>
  <si>
    <t>I102038</t>
  </si>
  <si>
    <t>C227579</t>
  </si>
  <si>
    <t>I102040</t>
  </si>
  <si>
    <t>C184203</t>
  </si>
  <si>
    <t>I102041</t>
  </si>
  <si>
    <t>C846159</t>
  </si>
  <si>
    <t>I102042</t>
  </si>
  <si>
    <t>C539103</t>
  </si>
  <si>
    <t>I102045</t>
  </si>
  <si>
    <t>C105667</t>
  </si>
  <si>
    <t>I102047</t>
  </si>
  <si>
    <t>C203711</t>
  </si>
  <si>
    <t>I102048</t>
  </si>
  <si>
    <t>C597678</t>
  </si>
  <si>
    <t>I102049</t>
  </si>
  <si>
    <t>C282234</t>
  </si>
  <si>
    <t>I102051</t>
  </si>
  <si>
    <t>C283917</t>
  </si>
  <si>
    <t>I102053</t>
  </si>
  <si>
    <t>C318494</t>
  </si>
  <si>
    <t>I102054</t>
  </si>
  <si>
    <t>C948047</t>
  </si>
  <si>
    <t>I102058</t>
  </si>
  <si>
    <t>C245703</t>
  </si>
  <si>
    <t>I102059</t>
  </si>
  <si>
    <t>C297169</t>
  </si>
  <si>
    <t>I102061</t>
  </si>
  <si>
    <t>C181574</t>
  </si>
  <si>
    <t>I102065</t>
  </si>
  <si>
    <t>C799164</t>
  </si>
  <si>
    <t>I102068</t>
  </si>
  <si>
    <t>C317485</t>
  </si>
  <si>
    <t>I102069</t>
  </si>
  <si>
    <t>C273829</t>
  </si>
  <si>
    <t>I102070</t>
  </si>
  <si>
    <t>C205475</t>
  </si>
  <si>
    <t>I102072</t>
  </si>
  <si>
    <t>C283005</t>
  </si>
  <si>
    <t>I102075</t>
  </si>
  <si>
    <t>C127805</t>
  </si>
  <si>
    <t>I102082</t>
  </si>
  <si>
    <t>C402987</t>
  </si>
  <si>
    <t>I102084</t>
  </si>
  <si>
    <t>C339822</t>
  </si>
  <si>
    <t>I102088</t>
  </si>
  <si>
    <t>C184837</t>
  </si>
  <si>
    <t>I102091</t>
  </si>
  <si>
    <t>C190233</t>
  </si>
  <si>
    <t>I102092</t>
  </si>
  <si>
    <t>C172569</t>
  </si>
  <si>
    <t>I102100</t>
  </si>
  <si>
    <t>C252261</t>
  </si>
  <si>
    <t>I102101</t>
  </si>
  <si>
    <t>C270792</t>
  </si>
  <si>
    <t>I102102</t>
  </si>
  <si>
    <t>C628484</t>
  </si>
  <si>
    <t>I102107</t>
  </si>
  <si>
    <t>C294500</t>
  </si>
  <si>
    <t>I102108</t>
  </si>
  <si>
    <t>C316403</t>
  </si>
  <si>
    <t>I102112</t>
  </si>
  <si>
    <t>C308314</t>
  </si>
  <si>
    <t>I102115</t>
  </si>
  <si>
    <t>C629211</t>
  </si>
  <si>
    <t>I102118</t>
  </si>
  <si>
    <t>C336690</t>
  </si>
  <si>
    <t>I102119</t>
  </si>
  <si>
    <t>C299453</t>
  </si>
  <si>
    <t>I102120</t>
  </si>
  <si>
    <t>C207445</t>
  </si>
  <si>
    <t>I102128</t>
  </si>
  <si>
    <t>C183134</t>
  </si>
  <si>
    <t>I102131</t>
  </si>
  <si>
    <t>C330136</t>
  </si>
  <si>
    <t>I102133</t>
  </si>
  <si>
    <t>C121237</t>
  </si>
  <si>
    <t>I102141</t>
  </si>
  <si>
    <t>C329384</t>
  </si>
  <si>
    <t>I102142</t>
  </si>
  <si>
    <t>C234980</t>
  </si>
  <si>
    <t>I102143</t>
  </si>
  <si>
    <t>C163307</t>
  </si>
  <si>
    <t>I102144</t>
  </si>
  <si>
    <t>C317414</t>
  </si>
  <si>
    <t>I102148</t>
  </si>
  <si>
    <t>C127692</t>
  </si>
  <si>
    <t>I102149</t>
  </si>
  <si>
    <t>C253677</t>
  </si>
  <si>
    <t>I102150</t>
  </si>
  <si>
    <t>C336009</t>
  </si>
  <si>
    <t>I102151</t>
  </si>
  <si>
    <t>C460226</t>
  </si>
  <si>
    <t>I102157</t>
  </si>
  <si>
    <t>C204532</t>
  </si>
  <si>
    <t>I102159</t>
  </si>
  <si>
    <t>C115523</t>
  </si>
  <si>
    <t>I102162</t>
  </si>
  <si>
    <t>C274417</t>
  </si>
  <si>
    <t>I102166</t>
  </si>
  <si>
    <t>C763155</t>
  </si>
  <si>
    <t>I102167</t>
  </si>
  <si>
    <t>C283282</t>
  </si>
  <si>
    <t>I102171</t>
  </si>
  <si>
    <t>C170678</t>
  </si>
  <si>
    <t>I102173</t>
  </si>
  <si>
    <t>C222171</t>
  </si>
  <si>
    <t>I102175</t>
  </si>
  <si>
    <t>C287261</t>
  </si>
  <si>
    <t>I102178</t>
  </si>
  <si>
    <t>C123925</t>
  </si>
  <si>
    <t>I102182</t>
  </si>
  <si>
    <t>C153009</t>
  </si>
  <si>
    <t>I102184</t>
  </si>
  <si>
    <t>C868347</t>
  </si>
  <si>
    <t>I102188</t>
  </si>
  <si>
    <t>C306087</t>
  </si>
  <si>
    <t>I102189</t>
  </si>
  <si>
    <t>C135789</t>
  </si>
  <si>
    <t>I102191</t>
  </si>
  <si>
    <t>C211798</t>
  </si>
  <si>
    <t>I102193</t>
  </si>
  <si>
    <t>C327121</t>
  </si>
  <si>
    <t>I102194</t>
  </si>
  <si>
    <t>C328882</t>
  </si>
  <si>
    <t>I102195</t>
  </si>
  <si>
    <t>C242866</t>
  </si>
  <si>
    <t>I102199</t>
  </si>
  <si>
    <t>C219898</t>
  </si>
  <si>
    <t>I102200</t>
  </si>
  <si>
    <t>C242359</t>
  </si>
  <si>
    <t>I102201</t>
  </si>
  <si>
    <t>C140670</t>
  </si>
  <si>
    <t>I102202</t>
  </si>
  <si>
    <t>C174973</t>
  </si>
  <si>
    <t>I102205</t>
  </si>
  <si>
    <t>C688295</t>
  </si>
  <si>
    <t>I102218</t>
  </si>
  <si>
    <t>C335848</t>
  </si>
  <si>
    <t>I102221</t>
  </si>
  <si>
    <t>C301581</t>
  </si>
  <si>
    <t>I102222</t>
  </si>
  <si>
    <t>C171465</t>
  </si>
  <si>
    <t>I102223</t>
  </si>
  <si>
    <t>C339595</t>
  </si>
  <si>
    <t>I102224</t>
  </si>
  <si>
    <t>C156712</t>
  </si>
  <si>
    <t>I102225</t>
  </si>
  <si>
    <t>C890104</t>
  </si>
  <si>
    <t>I102229</t>
  </si>
  <si>
    <t>C194316</t>
  </si>
  <si>
    <t>I102232</t>
  </si>
  <si>
    <t>C282538</t>
  </si>
  <si>
    <t>I102233</t>
  </si>
  <si>
    <t>C284826</t>
  </si>
  <si>
    <t>I102234</t>
  </si>
  <si>
    <t>C237184</t>
  </si>
  <si>
    <t>I102237</t>
  </si>
  <si>
    <t>C106693</t>
  </si>
  <si>
    <t>I102240</t>
  </si>
  <si>
    <t>C281387</t>
  </si>
  <si>
    <t>I102241</t>
  </si>
  <si>
    <t>C218554</t>
  </si>
  <si>
    <t>I102244</t>
  </si>
  <si>
    <t>C210214</t>
  </si>
  <si>
    <t>I102250</t>
  </si>
  <si>
    <t>C282314</t>
  </si>
  <si>
    <t>I102254</t>
  </si>
  <si>
    <t>C830416</t>
  </si>
  <si>
    <t>I102256</t>
  </si>
  <si>
    <t>C263791</t>
  </si>
  <si>
    <t>I102258</t>
  </si>
  <si>
    <t>C306120</t>
  </si>
  <si>
    <t>I102260</t>
  </si>
  <si>
    <t>C203685</t>
  </si>
  <si>
    <t>I102261</t>
  </si>
  <si>
    <t>C817162</t>
  </si>
  <si>
    <t>I102264</t>
  </si>
  <si>
    <t>C221936</t>
  </si>
  <si>
    <t>I102268</t>
  </si>
  <si>
    <t>C298559</t>
  </si>
  <si>
    <t>I102276</t>
  </si>
  <si>
    <t>C137086</t>
  </si>
  <si>
    <t>I102278</t>
  </si>
  <si>
    <t>C190867</t>
  </si>
  <si>
    <t>I102279</t>
  </si>
  <si>
    <t>C192527</t>
  </si>
  <si>
    <t>I102283</t>
  </si>
  <si>
    <t>C889444</t>
  </si>
  <si>
    <t>I102284</t>
  </si>
  <si>
    <t>C378236</t>
  </si>
  <si>
    <t>I102286</t>
  </si>
  <si>
    <t>C303985</t>
  </si>
  <si>
    <t>I102287</t>
  </si>
  <si>
    <t>C844764</t>
  </si>
  <si>
    <t>I102296</t>
  </si>
  <si>
    <t>C161661</t>
  </si>
  <si>
    <t>I102300</t>
  </si>
  <si>
    <t>C244793</t>
  </si>
  <si>
    <t>I102303</t>
  </si>
  <si>
    <t>C165489</t>
  </si>
  <si>
    <t>I102304</t>
  </si>
  <si>
    <t>C603018</t>
  </si>
  <si>
    <t>I102306</t>
  </si>
  <si>
    <t>C270038</t>
  </si>
  <si>
    <t>I102311</t>
  </si>
  <si>
    <t>C689496</t>
  </si>
  <si>
    <t>I102314</t>
  </si>
  <si>
    <t>C244044</t>
  </si>
  <si>
    <t>I102316</t>
  </si>
  <si>
    <t>C102664</t>
  </si>
  <si>
    <t>I102320</t>
  </si>
  <si>
    <t>C240298</t>
  </si>
  <si>
    <t>I102323</t>
  </si>
  <si>
    <t>C231102</t>
  </si>
  <si>
    <t>I102324</t>
  </si>
  <si>
    <t>C111343</t>
  </si>
  <si>
    <t>I102330</t>
  </si>
  <si>
    <t>C552450</t>
  </si>
  <si>
    <t>I102332</t>
  </si>
  <si>
    <t>C116250</t>
  </si>
  <si>
    <t>I102340</t>
  </si>
  <si>
    <t>C293553</t>
  </si>
  <si>
    <t>I102344</t>
  </si>
  <si>
    <t>C411285</t>
  </si>
  <si>
    <t>I102345</t>
  </si>
  <si>
    <t>C329679</t>
  </si>
  <si>
    <t>I102347</t>
  </si>
  <si>
    <t>C229953</t>
  </si>
  <si>
    <t>I102348</t>
  </si>
  <si>
    <t>C964439</t>
  </si>
  <si>
    <t>I102355</t>
  </si>
  <si>
    <t>C209984</t>
  </si>
  <si>
    <t>I102361</t>
  </si>
  <si>
    <t>C831180</t>
  </si>
  <si>
    <t>I102365</t>
  </si>
  <si>
    <t>C186468</t>
  </si>
  <si>
    <t>I102371</t>
  </si>
  <si>
    <t>C173386</t>
  </si>
  <si>
    <t>I102374</t>
  </si>
  <si>
    <t>C533960</t>
  </si>
  <si>
    <t>I102375</t>
  </si>
  <si>
    <t>C305450</t>
  </si>
  <si>
    <t>I102376</t>
  </si>
  <si>
    <t>C271700</t>
  </si>
  <si>
    <t>I102377</t>
  </si>
  <si>
    <t>C124677</t>
  </si>
  <si>
    <t>I102389</t>
  </si>
  <si>
    <t>C455912</t>
  </si>
  <si>
    <t>I102395</t>
  </si>
  <si>
    <t>C316538</t>
  </si>
  <si>
    <t>I102396</t>
  </si>
  <si>
    <t>C334331</t>
  </si>
  <si>
    <t>I102397</t>
  </si>
  <si>
    <t>C246554</t>
  </si>
  <si>
    <t>I102398</t>
  </si>
  <si>
    <t>C766818</t>
  </si>
  <si>
    <t>I102403</t>
  </si>
  <si>
    <t>C610622</t>
  </si>
  <si>
    <t>I102404</t>
  </si>
  <si>
    <t>C142061</t>
  </si>
  <si>
    <t>I102405</t>
  </si>
  <si>
    <t>C296119</t>
  </si>
  <si>
    <t>I102408</t>
  </si>
  <si>
    <t>C112153</t>
  </si>
  <si>
    <t>I102413</t>
  </si>
  <si>
    <t>C408282</t>
  </si>
  <si>
    <t>I102415</t>
  </si>
  <si>
    <t>C279084</t>
  </si>
  <si>
    <t>I102416</t>
  </si>
  <si>
    <t>C318747</t>
  </si>
  <si>
    <t>I102417</t>
  </si>
  <si>
    <t>C381679</t>
  </si>
  <si>
    <t>I102427</t>
  </si>
  <si>
    <t>C309294</t>
  </si>
  <si>
    <t>I102433</t>
  </si>
  <si>
    <t>C215256</t>
  </si>
  <si>
    <t>I102437</t>
  </si>
  <si>
    <t>C329779</t>
  </si>
  <si>
    <t>I102440</t>
  </si>
  <si>
    <t>C583660</t>
  </si>
  <si>
    <t>I102443</t>
  </si>
  <si>
    <t>C998094</t>
  </si>
  <si>
    <t>I102444</t>
  </si>
  <si>
    <t>C310499</t>
  </si>
  <si>
    <t>I102451</t>
  </si>
  <si>
    <t>C127080</t>
  </si>
  <si>
    <t>I102453</t>
  </si>
  <si>
    <t>C125666</t>
  </si>
  <si>
    <t>I102459</t>
  </si>
  <si>
    <t>C379128</t>
  </si>
  <si>
    <t>I102460</t>
  </si>
  <si>
    <t>C944064</t>
  </si>
  <si>
    <t>I102468</t>
  </si>
  <si>
    <t>C450900</t>
  </si>
  <si>
    <t>I102470</t>
  </si>
  <si>
    <t>C240359</t>
  </si>
  <si>
    <t>I102477</t>
  </si>
  <si>
    <t>C137641</t>
  </si>
  <si>
    <t>I102480</t>
  </si>
  <si>
    <t>C264394</t>
  </si>
  <si>
    <t>I102481</t>
  </si>
  <si>
    <t>C521673</t>
  </si>
  <si>
    <t>I102483</t>
  </si>
  <si>
    <t>C179176</t>
  </si>
  <si>
    <t>I102486</t>
  </si>
  <si>
    <t>C142171</t>
  </si>
  <si>
    <t>I102487</t>
  </si>
  <si>
    <t>C104393</t>
  </si>
  <si>
    <t>I102488</t>
  </si>
  <si>
    <t>C217895</t>
  </si>
  <si>
    <t>I102489</t>
  </si>
  <si>
    <t>C180255</t>
  </si>
  <si>
    <t>I102490</t>
  </si>
  <si>
    <t>C191187</t>
  </si>
  <si>
    <t>I102491</t>
  </si>
  <si>
    <t>C534732</t>
  </si>
  <si>
    <t>I102494</t>
  </si>
  <si>
    <t>C260867</t>
  </si>
  <si>
    <t>I102495</t>
  </si>
  <si>
    <t>C179897</t>
  </si>
  <si>
    <t>I102497</t>
  </si>
  <si>
    <t>C299013</t>
  </si>
  <si>
    <t>I102500</t>
  </si>
  <si>
    <t>C973474</t>
  </si>
  <si>
    <t>I102501</t>
  </si>
  <si>
    <t>C634728</t>
  </si>
  <si>
    <t>I102502</t>
  </si>
  <si>
    <t>C256344</t>
  </si>
  <si>
    <t>I102504</t>
  </si>
  <si>
    <t>C287619</t>
  </si>
  <si>
    <t>I102509</t>
  </si>
  <si>
    <t>C164347</t>
  </si>
  <si>
    <t>I102512</t>
  </si>
  <si>
    <t>C199702</t>
  </si>
  <si>
    <t>I102513</t>
  </si>
  <si>
    <t>C317824</t>
  </si>
  <si>
    <t>I102514</t>
  </si>
  <si>
    <t>C310453</t>
  </si>
  <si>
    <t>I102518</t>
  </si>
  <si>
    <t>C904918</t>
  </si>
  <si>
    <t>I102520</t>
  </si>
  <si>
    <t>C531894</t>
  </si>
  <si>
    <t>I102521</t>
  </si>
  <si>
    <t>C314327</t>
  </si>
  <si>
    <t>I102525</t>
  </si>
  <si>
    <t>C240268</t>
  </si>
  <si>
    <t>I102526</t>
  </si>
  <si>
    <t>C317197</t>
  </si>
  <si>
    <t>I102528</t>
  </si>
  <si>
    <t>C279943</t>
  </si>
  <si>
    <t>I102533</t>
  </si>
  <si>
    <t>C363843</t>
  </si>
  <si>
    <t>I102534</t>
  </si>
  <si>
    <t>C522955</t>
  </si>
  <si>
    <t>I102535</t>
  </si>
  <si>
    <t>C194716</t>
  </si>
  <si>
    <t>I102541</t>
  </si>
  <si>
    <t>C369611</t>
  </si>
  <si>
    <t>I102542</t>
  </si>
  <si>
    <t>C860947</t>
  </si>
  <si>
    <t>I102543</t>
  </si>
  <si>
    <t>C252688</t>
  </si>
  <si>
    <t>I102546</t>
  </si>
  <si>
    <t>C307847</t>
  </si>
  <si>
    <t>I102547</t>
  </si>
  <si>
    <t>C941147</t>
  </si>
  <si>
    <t>I102553</t>
  </si>
  <si>
    <t>C153282</t>
  </si>
  <si>
    <t>I102556</t>
  </si>
  <si>
    <t>C315965</t>
  </si>
  <si>
    <t>I102558</t>
  </si>
  <si>
    <t>C153506</t>
  </si>
  <si>
    <t>I102559</t>
  </si>
  <si>
    <t>C839296</t>
  </si>
  <si>
    <t>I102561</t>
  </si>
  <si>
    <t>C220525</t>
  </si>
  <si>
    <t>I102562</t>
  </si>
  <si>
    <t>C272836</t>
  </si>
  <si>
    <t>I102564</t>
  </si>
  <si>
    <t>C152318</t>
  </si>
  <si>
    <t>I102567</t>
  </si>
  <si>
    <t>C441192</t>
  </si>
  <si>
    <t>I102569</t>
  </si>
  <si>
    <t>C162413</t>
  </si>
  <si>
    <t>I102573</t>
  </si>
  <si>
    <t>C602990</t>
  </si>
  <si>
    <t>I102578</t>
  </si>
  <si>
    <t>C207183</t>
  </si>
  <si>
    <t>I102587</t>
  </si>
  <si>
    <t>C255931</t>
  </si>
  <si>
    <t>I102589</t>
  </si>
  <si>
    <t>C770363</t>
  </si>
  <si>
    <t>I102595</t>
  </si>
  <si>
    <t>C256607</t>
  </si>
  <si>
    <t>I102600</t>
  </si>
  <si>
    <t>C425591</t>
  </si>
  <si>
    <t>I102604</t>
  </si>
  <si>
    <t>C286659</t>
  </si>
  <si>
    <t>I102607</t>
  </si>
  <si>
    <t>C905205</t>
  </si>
  <si>
    <t>I102610</t>
  </si>
  <si>
    <t>C167297</t>
  </si>
  <si>
    <t>I102612</t>
  </si>
  <si>
    <t>C210929</t>
  </si>
  <si>
    <t>I102613</t>
  </si>
  <si>
    <t>C602495</t>
  </si>
  <si>
    <t>I102619</t>
  </si>
  <si>
    <t>C279714</t>
  </si>
  <si>
    <t>I102623</t>
  </si>
  <si>
    <t>C191191</t>
  </si>
  <si>
    <t>I102625</t>
  </si>
  <si>
    <t>C305261</t>
  </si>
  <si>
    <t>I102628</t>
  </si>
  <si>
    <t>C800190</t>
  </si>
  <si>
    <t>I102629</t>
  </si>
  <si>
    <t>C103453</t>
  </si>
  <si>
    <t>I102632</t>
  </si>
  <si>
    <t>C247827</t>
  </si>
  <si>
    <t>I102634</t>
  </si>
  <si>
    <t>C205293</t>
  </si>
  <si>
    <t>I102635</t>
  </si>
  <si>
    <t>C162707</t>
  </si>
  <si>
    <t>I102636</t>
  </si>
  <si>
    <t>C988123</t>
  </si>
  <si>
    <t>I102641</t>
  </si>
  <si>
    <t>C148509</t>
  </si>
  <si>
    <t>I102642</t>
  </si>
  <si>
    <t>C626080</t>
  </si>
  <si>
    <t>I102645</t>
  </si>
  <si>
    <t>C156538</t>
  </si>
  <si>
    <t>I102647</t>
  </si>
  <si>
    <t>C208778</t>
  </si>
  <si>
    <t>I102652</t>
  </si>
  <si>
    <t>C134226</t>
  </si>
  <si>
    <t>I102653</t>
  </si>
  <si>
    <t>C144135</t>
  </si>
  <si>
    <t>I102656</t>
  </si>
  <si>
    <t>C317978</t>
  </si>
  <si>
    <t>I102666</t>
  </si>
  <si>
    <t>C114925</t>
  </si>
  <si>
    <t>I102669</t>
  </si>
  <si>
    <t>C172671</t>
  </si>
  <si>
    <t>I102675</t>
  </si>
  <si>
    <t>C936544</t>
  </si>
  <si>
    <t>I102677</t>
  </si>
  <si>
    <t>C149751</t>
  </si>
  <si>
    <t>I102681</t>
  </si>
  <si>
    <t>C298900</t>
  </si>
  <si>
    <t>I102686</t>
  </si>
  <si>
    <t>C128656</t>
  </si>
  <si>
    <t>I102690</t>
  </si>
  <si>
    <t>C177682</t>
  </si>
  <si>
    <t>I102691</t>
  </si>
  <si>
    <t>C253781</t>
  </si>
  <si>
    <t>I102692</t>
  </si>
  <si>
    <t>C340001</t>
  </si>
  <si>
    <t>I102694</t>
  </si>
  <si>
    <t>C782676</t>
  </si>
  <si>
    <t>I102697</t>
  </si>
  <si>
    <t>C232551</t>
  </si>
  <si>
    <t>I102700</t>
  </si>
  <si>
    <t>C378568</t>
  </si>
  <si>
    <t>I102703</t>
  </si>
  <si>
    <t>C110600</t>
  </si>
  <si>
    <t>I102713</t>
  </si>
  <si>
    <t>C259637</t>
  </si>
  <si>
    <t>I102714</t>
  </si>
  <si>
    <t>C182058</t>
  </si>
  <si>
    <t>I102715</t>
  </si>
  <si>
    <t>C837237</t>
  </si>
  <si>
    <t>I102716</t>
  </si>
  <si>
    <t>C231411</t>
  </si>
  <si>
    <t>I102719</t>
  </si>
  <si>
    <t>C480086</t>
  </si>
  <si>
    <t>I102721</t>
  </si>
  <si>
    <t>C102359</t>
  </si>
  <si>
    <t>I102725</t>
  </si>
  <si>
    <t>C385326</t>
  </si>
  <si>
    <t>I102726</t>
  </si>
  <si>
    <t>C444281</t>
  </si>
  <si>
    <t>I102729</t>
  </si>
  <si>
    <t>C216936</t>
  </si>
  <si>
    <t>I102730</t>
  </si>
  <si>
    <t>C181990</t>
  </si>
  <si>
    <t>I102732</t>
  </si>
  <si>
    <t>C719232</t>
  </si>
  <si>
    <t>I102734</t>
  </si>
  <si>
    <t>C134006</t>
  </si>
  <si>
    <t>I102735</t>
  </si>
  <si>
    <t>C662013</t>
  </si>
  <si>
    <t>I102737</t>
  </si>
  <si>
    <t>C112982</t>
  </si>
  <si>
    <t>I102751</t>
  </si>
  <si>
    <t>C224224</t>
  </si>
  <si>
    <t>I102754</t>
  </si>
  <si>
    <t>C760072</t>
  </si>
  <si>
    <t>I102758</t>
  </si>
  <si>
    <t>C778349</t>
  </si>
  <si>
    <t>I102759</t>
  </si>
  <si>
    <t>C174415</t>
  </si>
  <si>
    <t>I102760</t>
  </si>
  <si>
    <t>C158547</t>
  </si>
  <si>
    <t>I102761</t>
  </si>
  <si>
    <t>C333330</t>
  </si>
  <si>
    <t>I102764</t>
  </si>
  <si>
    <t>C102832</t>
  </si>
  <si>
    <t>I102766</t>
  </si>
  <si>
    <t>C200431</t>
  </si>
  <si>
    <t>I102767</t>
  </si>
  <si>
    <t>C203666</t>
  </si>
  <si>
    <t>I102773</t>
  </si>
  <si>
    <t>C287506</t>
  </si>
  <si>
    <t>I102776</t>
  </si>
  <si>
    <t>C214209</t>
  </si>
  <si>
    <t>I102782</t>
  </si>
  <si>
    <t>C105352</t>
  </si>
  <si>
    <t>I102783</t>
  </si>
  <si>
    <t>C816576</t>
  </si>
  <si>
    <t>I102786</t>
  </si>
  <si>
    <t>C969271</t>
  </si>
  <si>
    <t>I102790</t>
  </si>
  <si>
    <t>C193288</t>
  </si>
  <si>
    <t>I102792</t>
  </si>
  <si>
    <t>C766287</t>
  </si>
  <si>
    <t>I102797</t>
  </si>
  <si>
    <t>C129206</t>
  </si>
  <si>
    <t>I102799</t>
  </si>
  <si>
    <t>C704920</t>
  </si>
  <si>
    <t>I102800</t>
  </si>
  <si>
    <t>C211156</t>
  </si>
  <si>
    <t>I102801</t>
  </si>
  <si>
    <t>C288748</t>
  </si>
  <si>
    <t>I102802</t>
  </si>
  <si>
    <t>C107887</t>
  </si>
  <si>
    <t>I102818</t>
  </si>
  <si>
    <t>C156505</t>
  </si>
  <si>
    <t>I102819</t>
  </si>
  <si>
    <t>C309720</t>
  </si>
  <si>
    <t>I102824</t>
  </si>
  <si>
    <t>C194938</t>
  </si>
  <si>
    <t>I102825</t>
  </si>
  <si>
    <t>C150885</t>
  </si>
  <si>
    <t>I102832</t>
  </si>
  <si>
    <t>C146777</t>
  </si>
  <si>
    <t>I102836</t>
  </si>
  <si>
    <t>C279148</t>
  </si>
  <si>
    <t>I102837</t>
  </si>
  <si>
    <t>C320088</t>
  </si>
  <si>
    <t>I102840</t>
  </si>
  <si>
    <t>C161257</t>
  </si>
  <si>
    <t>I102843</t>
  </si>
  <si>
    <t>C235737</t>
  </si>
  <si>
    <t>I102845</t>
  </si>
  <si>
    <t>C175442</t>
  </si>
  <si>
    <t>I102847</t>
  </si>
  <si>
    <t>C123536</t>
  </si>
  <si>
    <t>I102848</t>
  </si>
  <si>
    <t>C252901</t>
  </si>
  <si>
    <t>I102849</t>
  </si>
  <si>
    <t>C251633</t>
  </si>
  <si>
    <t>I102855</t>
  </si>
  <si>
    <t>C159521</t>
  </si>
  <si>
    <t>I102873</t>
  </si>
  <si>
    <t>C994454</t>
  </si>
  <si>
    <t>I102876</t>
  </si>
  <si>
    <t>C283599</t>
  </si>
  <si>
    <t>I102877</t>
  </si>
  <si>
    <t>C505213</t>
  </si>
  <si>
    <t>I102879</t>
  </si>
  <si>
    <t>C380202</t>
  </si>
  <si>
    <t>I102881</t>
  </si>
  <si>
    <t>C482255</t>
  </si>
  <si>
    <t>I102883</t>
  </si>
  <si>
    <t>C114509</t>
  </si>
  <si>
    <t>I102884</t>
  </si>
  <si>
    <t>C121907</t>
  </si>
  <si>
    <t>I102885</t>
  </si>
  <si>
    <t>C216254</t>
  </si>
  <si>
    <t>I102886</t>
  </si>
  <si>
    <t>C896170</t>
  </si>
  <si>
    <t>I102893</t>
  </si>
  <si>
    <t>C264654</t>
  </si>
  <si>
    <t>I102902</t>
  </si>
  <si>
    <t>C603291</t>
  </si>
  <si>
    <t>I102905</t>
  </si>
  <si>
    <t>C318145</t>
  </si>
  <si>
    <t>I102906</t>
  </si>
  <si>
    <t>C219499</t>
  </si>
  <si>
    <t>I102917</t>
  </si>
  <si>
    <t>C262929</t>
  </si>
  <si>
    <t>I102923</t>
  </si>
  <si>
    <t>C148421</t>
  </si>
  <si>
    <t>I102925</t>
  </si>
  <si>
    <t>C217020</t>
  </si>
  <si>
    <t>I102926</t>
  </si>
  <si>
    <t>C319883</t>
  </si>
  <si>
    <t>I102928</t>
  </si>
  <si>
    <t>C211300</t>
  </si>
  <si>
    <t>I102931</t>
  </si>
  <si>
    <t>C318182</t>
  </si>
  <si>
    <t>I102935</t>
  </si>
  <si>
    <t>C184509</t>
  </si>
  <si>
    <t>I102939</t>
  </si>
  <si>
    <t>C100110</t>
  </si>
  <si>
    <t>I102941</t>
  </si>
  <si>
    <t>C189039</t>
  </si>
  <si>
    <t>I102944</t>
  </si>
  <si>
    <t>C105025</t>
  </si>
  <si>
    <t>I102945</t>
  </si>
  <si>
    <t>C287896</t>
  </si>
  <si>
    <t>I102946</t>
  </si>
  <si>
    <t>C182144</t>
  </si>
  <si>
    <t>I102954</t>
  </si>
  <si>
    <t>C155342</t>
  </si>
  <si>
    <t>I102958</t>
  </si>
  <si>
    <t>C332958</t>
  </si>
  <si>
    <t>I102960</t>
  </si>
  <si>
    <t>C131004</t>
  </si>
  <si>
    <t>I102964</t>
  </si>
  <si>
    <t>C321846</t>
  </si>
  <si>
    <t>I102969</t>
  </si>
  <si>
    <t>C166525</t>
  </si>
  <si>
    <t>I102977</t>
  </si>
  <si>
    <t>C316330</t>
  </si>
  <si>
    <t>I102979</t>
  </si>
  <si>
    <t>C628682</t>
  </si>
  <si>
    <t>I102985</t>
  </si>
  <si>
    <t>C191792</t>
  </si>
  <si>
    <t>I102989</t>
  </si>
  <si>
    <t>C273531</t>
  </si>
  <si>
    <t>I102990</t>
  </si>
  <si>
    <t>C296573</t>
  </si>
  <si>
    <t>I102991</t>
  </si>
  <si>
    <t>C397967</t>
  </si>
  <si>
    <t>I102993</t>
  </si>
  <si>
    <t>C142692</t>
  </si>
  <si>
    <t>I102994</t>
  </si>
  <si>
    <t>C262644</t>
  </si>
  <si>
    <t>I102999</t>
  </si>
  <si>
    <t>C295992</t>
  </si>
  <si>
    <t>I103002</t>
  </si>
  <si>
    <t>C245635</t>
  </si>
  <si>
    <t>I103004</t>
  </si>
  <si>
    <t>C560575</t>
  </si>
  <si>
    <t>I103006</t>
  </si>
  <si>
    <t>C258085</t>
  </si>
  <si>
    <t>I103010</t>
  </si>
  <si>
    <t>C260917</t>
  </si>
  <si>
    <t>I103014</t>
  </si>
  <si>
    <t>C185481</t>
  </si>
  <si>
    <t>I103016</t>
  </si>
  <si>
    <t>C633152</t>
  </si>
  <si>
    <t>I103019</t>
  </si>
  <si>
    <t>C335724</t>
  </si>
  <si>
    <t>I103020</t>
  </si>
  <si>
    <t>C327792</t>
  </si>
  <si>
    <t>I103021</t>
  </si>
  <si>
    <t>C325728</t>
  </si>
  <si>
    <t>I103026</t>
  </si>
  <si>
    <t>C142823</t>
  </si>
  <si>
    <t>I103028</t>
  </si>
  <si>
    <t>C243168</t>
  </si>
  <si>
    <t>I103029</t>
  </si>
  <si>
    <t>C213516</t>
  </si>
  <si>
    <t>I103031</t>
  </si>
  <si>
    <t>C228178</t>
  </si>
  <si>
    <t>I103032</t>
  </si>
  <si>
    <t>C317778</t>
  </si>
  <si>
    <t>I103033</t>
  </si>
  <si>
    <t>C960822</t>
  </si>
  <si>
    <t>I103035</t>
  </si>
  <si>
    <t>C155712</t>
  </si>
  <si>
    <t>I103036</t>
  </si>
  <si>
    <t>C992589</t>
  </si>
  <si>
    <t>I103044</t>
  </si>
  <si>
    <t>C367741</t>
  </si>
  <si>
    <t>I103045</t>
  </si>
  <si>
    <t>C267316</t>
  </si>
  <si>
    <t>I103046</t>
  </si>
  <si>
    <t>C208145</t>
  </si>
  <si>
    <t>I103055</t>
  </si>
  <si>
    <t>C315737</t>
  </si>
  <si>
    <t>I103056</t>
  </si>
  <si>
    <t>C258161</t>
  </si>
  <si>
    <t>I103059</t>
  </si>
  <si>
    <t>C264391</t>
  </si>
  <si>
    <t>I103061</t>
  </si>
  <si>
    <t>C603549</t>
  </si>
  <si>
    <t>I103062</t>
  </si>
  <si>
    <t>C232094</t>
  </si>
  <si>
    <t>I103064</t>
  </si>
  <si>
    <t>C274479</t>
  </si>
  <si>
    <t>I103065</t>
  </si>
  <si>
    <t>C205710</t>
  </si>
  <si>
    <t>I103066</t>
  </si>
  <si>
    <t>C340003</t>
  </si>
  <si>
    <t>I103067</t>
  </si>
  <si>
    <t>C210847</t>
  </si>
  <si>
    <t>I103068</t>
  </si>
  <si>
    <t>C115494</t>
  </si>
  <si>
    <t>I103070</t>
  </si>
  <si>
    <t>C754112</t>
  </si>
  <si>
    <t>I103071</t>
  </si>
  <si>
    <t>C243412</t>
  </si>
  <si>
    <t>I103072</t>
  </si>
  <si>
    <t>C170969</t>
  </si>
  <si>
    <t>I103076</t>
  </si>
  <si>
    <t>C288406</t>
  </si>
  <si>
    <t>I103081</t>
  </si>
  <si>
    <t>C119424</t>
  </si>
  <si>
    <t>I103082</t>
  </si>
  <si>
    <t>C286580</t>
  </si>
  <si>
    <t>I103083</t>
  </si>
  <si>
    <t>C936888</t>
  </si>
  <si>
    <t>I103085</t>
  </si>
  <si>
    <t>C252697</t>
  </si>
  <si>
    <t>I103086</t>
  </si>
  <si>
    <t>C285452</t>
  </si>
  <si>
    <t>Count of customer_id</t>
  </si>
  <si>
    <t>Sum of quantity</t>
  </si>
  <si>
    <t>Sum of Revenue</t>
  </si>
  <si>
    <t>1.How is the shopping distribution according to gender?</t>
  </si>
  <si>
    <t>Total quantity</t>
  </si>
  <si>
    <t>Total  Revenue</t>
  </si>
  <si>
    <t>2.Which gender did we sell more products to?</t>
  </si>
  <si>
    <r>
      <rPr>
        <b/>
        <sz val="9"/>
        <color theme="1"/>
        <rFont val="Times New Roman"/>
        <family val="1"/>
      </rPr>
      <t xml:space="preserve">3. </t>
    </r>
    <r>
      <rPr>
        <b/>
        <sz val="9"/>
        <color theme="1"/>
        <rFont val="Book Antiqua"/>
        <family val="1"/>
      </rPr>
      <t>Which gender generated more revenue?</t>
    </r>
  </si>
  <si>
    <t>4.Distribution of purchase categories relative to other columns?</t>
  </si>
  <si>
    <t>5.How is the shopping distribution according to age?</t>
  </si>
  <si>
    <t>age group</t>
  </si>
  <si>
    <t>18-25</t>
  </si>
  <si>
    <t>26-35</t>
  </si>
  <si>
    <t>36-45</t>
  </si>
  <si>
    <t>46-60</t>
  </si>
  <si>
    <t>60+</t>
  </si>
  <si>
    <t>Grand Total</t>
  </si>
  <si>
    <t>Total revenue</t>
  </si>
  <si>
    <t>6.Which age cat did we sell more products to?</t>
  </si>
  <si>
    <t>7.Which age cat generated more revenue?</t>
  </si>
  <si>
    <t>8.Distribution of purchase categories relative to other columns?</t>
  </si>
  <si>
    <t xml:space="preserve">category </t>
  </si>
  <si>
    <t>Details for Total revenue - age group: 46-60</t>
  </si>
  <si>
    <t>payment method</t>
  </si>
  <si>
    <t>9.Does the payment method have a relation with other columns?</t>
  </si>
  <si>
    <t>10.How is the distribution of the payment method?</t>
  </si>
  <si>
    <t>Sum of price</t>
  </si>
  <si>
    <t>Count of price2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</si>
</sst>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Book Antiqua"/>
      <family val="1"/>
    </font>
    <font>
      <sz val="10"/>
      <color theme="1"/>
      <name val="Calibri"/>
      <family val="2"/>
      <scheme val="minor"/>
    </font>
    <font>
      <b/>
      <sz val="10"/>
      <color theme="1"/>
      <name val="Book Antiqua"/>
      <family val="1"/>
    </font>
    <font>
      <b/>
      <sz val="10"/>
      <color theme="1"/>
      <name val="Calibri"/>
      <family val="2"/>
      <scheme val="minor"/>
    </font>
    <font>
      <sz val="9"/>
      <color theme="1"/>
      <name val="Calibri"/>
      <family val="2"/>
      <scheme val="minor"/>
    </font>
    <font>
      <b/>
      <sz val="9"/>
      <color theme="1"/>
      <name val="Book Antiqua"/>
      <family val="1"/>
    </font>
    <font>
      <b/>
      <sz val="9"/>
      <color theme="1"/>
      <name val="Calibri"/>
      <family val="2"/>
      <scheme val="minor"/>
    </font>
    <font>
      <b/>
      <sz val="9"/>
      <color theme="1"/>
      <name val="Times New Roman"/>
      <family val="1"/>
    </font>
    <font>
      <sz val="11"/>
      <color theme="1"/>
      <name val="Consolas"/>
      <family val="3"/>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0" fontId="0" fillId="0" borderId="10" xfId="0" pivotButton="1" applyBorder="1"/>
    <xf numFmtId="0" fontId="0" fillId="0" borderId="10" xfId="0" applyBorder="1"/>
    <xf numFmtId="10" fontId="0" fillId="0" borderId="10" xfId="0" applyNumberFormat="1" applyBorder="1"/>
    <xf numFmtId="0" fontId="0" fillId="0" borderId="0" xfId="0" pivotButton="1"/>
    <xf numFmtId="0" fontId="0" fillId="0" borderId="0" xfId="0" applyNumberFormat="1"/>
    <xf numFmtId="0" fontId="0" fillId="0" borderId="10" xfId="0" applyNumberFormat="1" applyBorder="1"/>
    <xf numFmtId="0" fontId="16" fillId="33" borderId="0" xfId="0" applyFont="1" applyFill="1"/>
    <xf numFmtId="0" fontId="16" fillId="0" borderId="0" xfId="0" applyFont="1"/>
    <xf numFmtId="0" fontId="18" fillId="34" borderId="0" xfId="0" applyFont="1" applyFill="1" applyAlignment="1">
      <alignment horizontal="center" vertical="center"/>
    </xf>
    <xf numFmtId="0" fontId="19" fillId="0" borderId="0" xfId="0" applyFont="1"/>
    <xf numFmtId="0" fontId="22" fillId="0" borderId="0" xfId="0" applyFont="1"/>
    <xf numFmtId="0" fontId="24" fillId="34" borderId="0" xfId="0" applyFont="1" applyFill="1"/>
    <xf numFmtId="0" fontId="24" fillId="0" borderId="0" xfId="0" applyFont="1"/>
    <xf numFmtId="0" fontId="23" fillId="35" borderId="0" xfId="0" applyFont="1" applyFill="1"/>
    <xf numFmtId="0" fontId="24" fillId="35" borderId="0" xfId="0" applyFont="1" applyFill="1"/>
    <xf numFmtId="0" fontId="22" fillId="35" borderId="0" xfId="0" applyFont="1" applyFill="1"/>
    <xf numFmtId="0" fontId="23" fillId="35" borderId="0" xfId="0" applyFont="1" applyFill="1" applyAlignment="1">
      <alignment horizontal="left" vertical="center" indent="4"/>
    </xf>
    <xf numFmtId="0" fontId="22" fillId="34" borderId="0" xfId="0" applyFont="1" applyFill="1"/>
    <xf numFmtId="0" fontId="26" fillId="0" borderId="0" xfId="0" applyFont="1" applyAlignment="1">
      <alignment vertical="center"/>
    </xf>
    <xf numFmtId="0" fontId="0" fillId="0" borderId="0" xfId="0" applyAlignment="1">
      <alignment horizontal="left"/>
    </xf>
    <xf numFmtId="1" fontId="0" fillId="0" borderId="0" xfId="0" applyNumberFormat="1"/>
    <xf numFmtId="0" fontId="0" fillId="35" borderId="0" xfId="0" applyFill="1"/>
    <xf numFmtId="0" fontId="20" fillId="35" borderId="0" xfId="0" applyFont="1" applyFill="1" applyAlignment="1">
      <alignment horizontal="left" vertical="center" indent="5"/>
    </xf>
    <xf numFmtId="0" fontId="21" fillId="35" borderId="0" xfId="0" applyFont="1" applyFill="1"/>
    <xf numFmtId="9" fontId="0" fillId="0" borderId="0" xfId="0" applyNumberFormat="1"/>
    <xf numFmtId="0" fontId="19"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ont>
        <color rgb="FF9C0006"/>
      </font>
      <fill>
        <patternFill>
          <bgColor rgb="FFFFC7CE"/>
        </patternFill>
      </fill>
    </dxf>
    <dxf>
      <font>
        <color rgb="FF9C0006"/>
      </font>
      <fill>
        <patternFill>
          <bgColor rgb="FFFFC7CE"/>
        </patternFill>
      </fill>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database_Final_5.xlsx]GENDER INSIGHTS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Shopping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6764705882352949E-3"/>
              <c:y val="-1.7347234759768071E-1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5588235294117647E-2"/>
                  <c:h val="6.3112371617054977E-2"/>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16200000" scaled="1"/>
            <a:tileRect/>
          </a:gradFill>
          <a:ln>
            <a:noFill/>
          </a:ln>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INSIGHTS '!$B$7</c:f>
              <c:strCache>
                <c:ptCount val="1"/>
                <c:pt idx="0">
                  <c:v>Total</c:v>
                </c:pt>
              </c:strCache>
            </c:strRef>
          </c:tx>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16200000" scaled="1"/>
              <a:tileRect/>
            </a:gradFill>
            <a:ln>
              <a:noFill/>
            </a:ln>
            <a:effectLst/>
            <a:scene3d>
              <a:camera prst="orthographicFront"/>
              <a:lightRig rig="threePt" dir="t"/>
            </a:scene3d>
            <a:sp3d>
              <a:bevelT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INSIGHTS '!$A$8:$A$10</c:f>
              <c:strCache>
                <c:ptCount val="2"/>
                <c:pt idx="0">
                  <c:v>Female</c:v>
                </c:pt>
                <c:pt idx="1">
                  <c:v>Male</c:v>
                </c:pt>
              </c:strCache>
            </c:strRef>
          </c:cat>
          <c:val>
            <c:numRef>
              <c:f>'GENDER INSIGHTS '!$B$8:$B$10</c:f>
              <c:numCache>
                <c:formatCode>General</c:formatCode>
                <c:ptCount val="2"/>
                <c:pt idx="0">
                  <c:v>620</c:v>
                </c:pt>
                <c:pt idx="1">
                  <c:v>380</c:v>
                </c:pt>
              </c:numCache>
            </c:numRef>
          </c:val>
          <c:extLst>
            <c:ext xmlns:c16="http://schemas.microsoft.com/office/drawing/2014/chart" uri="{C3380CC4-5D6E-409C-BE32-E72D297353CC}">
              <c16:uniqueId val="{00000004-2BB9-467A-B3EE-CE2FDE24A0F3}"/>
            </c:ext>
          </c:extLst>
        </c:ser>
        <c:dLbls>
          <c:dLblPos val="outEnd"/>
          <c:showLegendKey val="0"/>
          <c:showVal val="1"/>
          <c:showCatName val="0"/>
          <c:showSerName val="0"/>
          <c:showPercent val="0"/>
          <c:showBubbleSize val="0"/>
        </c:dLbls>
        <c:gapWidth val="219"/>
        <c:overlap val="-27"/>
        <c:axId val="1906441664"/>
        <c:axId val="1906438304"/>
      </c:barChart>
      <c:catAx>
        <c:axId val="190644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38304"/>
        <c:crosses val="autoZero"/>
        <c:auto val="1"/>
        <c:lblAlgn val="ctr"/>
        <c:lblOffset val="100"/>
        <c:noMultiLvlLbl val="0"/>
      </c:catAx>
      <c:valAx>
        <c:axId val="190643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441664"/>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a:noFill/>
        </a:ln>
        <a:effectLst/>
        <a:scene3d>
          <a:camera prst="orthographicFront"/>
          <a:lightRig rig="threePt" dir="t"/>
        </a:scene3d>
        <a:sp3d>
          <a:bevelT w="165100" prst="coolSlant"/>
        </a:sp3d>
      </c:spPr>
    </c:plotArea>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database_Final_5.xlsx]GENDER INSIGHTS !PivotTable9</c:name>
    <c:fmtId val="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Total Quantity By Gender</a:t>
            </a:r>
          </a:p>
        </c:rich>
      </c:tx>
      <c:layout>
        <c:manualLayout>
          <c:xMode val="edge"/>
          <c:yMode val="edge"/>
          <c:x val="0.23196508331195442"/>
          <c:y val="0.12825635601519958"/>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50000"/>
            </a:schemeClr>
          </a:solidFill>
          <a:ln w="25400">
            <a:solidFill>
              <a:schemeClr val="lt1"/>
            </a:solidFill>
          </a:ln>
          <a:effectLst/>
          <a:scene3d>
            <a:camera prst="orthographicFront"/>
            <a:lightRig rig="threePt" dir="t"/>
          </a:scene3d>
          <a:sp3d contourW="25400">
            <a:bevelT w="114300" prst="artDeco"/>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w="25400">
            <a:solidFill>
              <a:schemeClr val="lt1"/>
            </a:solidFill>
          </a:ln>
          <a:effectLst/>
          <a:scene3d>
            <a:camera prst="orthographicFront"/>
            <a:lightRig rig="threePt" dir="t"/>
          </a:scene3d>
          <a:sp3d contourW="25400">
            <a:bevelT w="114300" prst="artDeco"/>
            <a:contourClr>
              <a:schemeClr val="lt1"/>
            </a:contourClr>
          </a:sp3d>
        </c:spPr>
      </c:pivotFmt>
      <c:pivotFmt>
        <c:idx val="2"/>
        <c:spPr>
          <a:solidFill>
            <a:schemeClr val="accent5">
              <a:lumMod val="50000"/>
            </a:schemeClr>
          </a:solidFill>
          <a:ln w="25400">
            <a:solidFill>
              <a:schemeClr val="lt1"/>
            </a:solidFill>
          </a:ln>
          <a:effectLst/>
          <a:scene3d>
            <a:camera prst="orthographicFront"/>
            <a:lightRig rig="threePt" dir="t"/>
          </a:scene3d>
          <a:sp3d contourW="25400">
            <a:bevelT w="114300" prst="artDeco"/>
            <a:contourClr>
              <a:schemeClr val="lt1"/>
            </a:contourClr>
          </a:sp3d>
        </c:spPr>
      </c:pivotFmt>
    </c:pivotFmts>
    <c:view3D>
      <c:rotX val="75"/>
      <c:rotY val="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INSIGHTS '!$G$7</c:f>
              <c:strCache>
                <c:ptCount val="1"/>
                <c:pt idx="0">
                  <c:v>Total</c:v>
                </c:pt>
              </c:strCache>
            </c:strRef>
          </c:tx>
          <c:spPr>
            <a:solidFill>
              <a:schemeClr val="accent5">
                <a:lumMod val="50000"/>
              </a:schemeClr>
            </a:solidFill>
            <a:scene3d>
              <a:camera prst="orthographicFront"/>
              <a:lightRig rig="threePt" dir="t"/>
            </a:scene3d>
            <a:sp3d>
              <a:bevelT w="114300" prst="artDeco"/>
              <a:contourClr>
                <a:srgbClr val="000000"/>
              </a:contourClr>
            </a:sp3d>
          </c:spPr>
          <c:dPt>
            <c:idx val="0"/>
            <c:bubble3D val="0"/>
            <c:spPr>
              <a:solidFill>
                <a:srgbClr val="00B0F0"/>
              </a:solidFill>
              <a:ln w="25400">
                <a:solidFill>
                  <a:schemeClr val="lt1"/>
                </a:solidFill>
              </a:ln>
              <a:effectLst/>
              <a:scene3d>
                <a:camera prst="orthographicFront"/>
                <a:lightRig rig="threePt" dir="t"/>
              </a:scene3d>
              <a:sp3d contourW="25400">
                <a:bevelT w="114300" prst="artDeco"/>
                <a:contourClr>
                  <a:schemeClr val="lt1"/>
                </a:contourClr>
              </a:sp3d>
            </c:spPr>
            <c:extLst>
              <c:ext xmlns:c16="http://schemas.microsoft.com/office/drawing/2014/chart" uri="{C3380CC4-5D6E-409C-BE32-E72D297353CC}">
                <c16:uniqueId val="{00000002-3701-429D-B6E4-B0BAEA480AEF}"/>
              </c:ext>
            </c:extLst>
          </c:dPt>
          <c:dPt>
            <c:idx val="1"/>
            <c:bubble3D val="0"/>
            <c:spPr>
              <a:solidFill>
                <a:schemeClr val="accent5">
                  <a:lumMod val="50000"/>
                </a:schemeClr>
              </a:solidFill>
              <a:ln w="25400">
                <a:solidFill>
                  <a:schemeClr val="lt1"/>
                </a:solidFill>
              </a:ln>
              <a:effectLst/>
              <a:scene3d>
                <a:camera prst="orthographicFront"/>
                <a:lightRig rig="threePt" dir="t"/>
              </a:scene3d>
              <a:sp3d contourW="25400">
                <a:bevelT w="114300" prst="artDeco"/>
                <a:contourClr>
                  <a:schemeClr val="lt1"/>
                </a:contourClr>
              </a:sp3d>
            </c:spPr>
            <c:extLst>
              <c:ext xmlns:c16="http://schemas.microsoft.com/office/drawing/2014/chart" uri="{C3380CC4-5D6E-409C-BE32-E72D297353CC}">
                <c16:uniqueId val="{00000003-3701-429D-B6E4-B0BAEA480AEF}"/>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INSIGHTS '!$F$8:$F$10</c:f>
              <c:strCache>
                <c:ptCount val="2"/>
                <c:pt idx="0">
                  <c:v>Female</c:v>
                </c:pt>
                <c:pt idx="1">
                  <c:v>Male</c:v>
                </c:pt>
              </c:strCache>
            </c:strRef>
          </c:cat>
          <c:val>
            <c:numRef>
              <c:f>'GENDER INSIGHTS '!$G$8:$G$10</c:f>
              <c:numCache>
                <c:formatCode>0.00%</c:formatCode>
                <c:ptCount val="2"/>
                <c:pt idx="0">
                  <c:v>0.62160348876216032</c:v>
                </c:pt>
                <c:pt idx="1">
                  <c:v>0.37839651123783963</c:v>
                </c:pt>
              </c:numCache>
            </c:numRef>
          </c:val>
          <c:extLst>
            <c:ext xmlns:c16="http://schemas.microsoft.com/office/drawing/2014/chart" uri="{C3380CC4-5D6E-409C-BE32-E72D297353CC}">
              <c16:uniqueId val="{00000000-3701-429D-B6E4-B0BAEA480AEF}"/>
            </c:ext>
          </c:extLst>
        </c:ser>
        <c:dLbls>
          <c:showLegendKey val="0"/>
          <c:showVal val="0"/>
          <c:showCatName val="0"/>
          <c:showSerName val="0"/>
          <c:showPercent val="0"/>
          <c:showBubbleSize val="0"/>
          <c:showLeaderLines val="1"/>
        </c:dLbls>
      </c:pie3D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a:noFill/>
        </a:ln>
        <a:effectLst/>
        <a:scene3d>
          <a:camera prst="orthographicFront"/>
          <a:lightRig rig="threePt" dir="t"/>
        </a:scene3d>
        <a:sp3d>
          <a:bevelT w="165100" prst="coolSlant"/>
        </a:sp3d>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14300" prst="artDeco"/>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database_Final_5.xlsx]GENDER INSIGHTS !PivotTable10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Gender</a:t>
            </a:r>
          </a:p>
        </c:rich>
      </c:tx>
      <c:layout>
        <c:manualLayout>
          <c:xMode val="edge"/>
          <c:yMode val="edge"/>
          <c:x val="0.23772011978678873"/>
          <c:y val="0.144258283504035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10800000" scaled="1"/>
            <a:tileRect/>
          </a:gra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46877335697277"/>
          <c:y val="0.28506028851656701"/>
          <c:w val="0.64140579281894394"/>
          <c:h val="0.59865766779152607"/>
        </c:manualLayout>
      </c:layout>
      <c:barChart>
        <c:barDir val="bar"/>
        <c:grouping val="clustered"/>
        <c:varyColors val="0"/>
        <c:ser>
          <c:idx val="0"/>
          <c:order val="0"/>
          <c:tx>
            <c:strRef>
              <c:f>'GENDER INSIGHTS '!$M$7</c:f>
              <c:strCache>
                <c:ptCount val="1"/>
                <c:pt idx="0">
                  <c:v>Total</c:v>
                </c:pt>
              </c:strCache>
            </c:strRef>
          </c:tx>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10800000" scaled="1"/>
              <a:tileRect/>
            </a:gradFill>
            <a:ln>
              <a:noFill/>
            </a:ln>
            <a:effectLst/>
            <a:scene3d>
              <a:camera prst="orthographicFront"/>
              <a:lightRig rig="threePt" dir="t"/>
            </a:scene3d>
            <a:sp3d>
              <a:bevelT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INSIGHTS '!$L$8:$L$10</c:f>
              <c:strCache>
                <c:ptCount val="2"/>
                <c:pt idx="0">
                  <c:v>Female</c:v>
                </c:pt>
                <c:pt idx="1">
                  <c:v>Male</c:v>
                </c:pt>
              </c:strCache>
            </c:strRef>
          </c:cat>
          <c:val>
            <c:numRef>
              <c:f>'GENDER INSIGHTS '!$M$8:$M$10</c:f>
              <c:numCache>
                <c:formatCode>General</c:formatCode>
                <c:ptCount val="2"/>
                <c:pt idx="0">
                  <c:v>725738438.29000032</c:v>
                </c:pt>
                <c:pt idx="1">
                  <c:v>294813899.5200001</c:v>
                </c:pt>
              </c:numCache>
            </c:numRef>
          </c:val>
          <c:extLst>
            <c:ext xmlns:c16="http://schemas.microsoft.com/office/drawing/2014/chart" uri="{C3380CC4-5D6E-409C-BE32-E72D297353CC}">
              <c16:uniqueId val="{00000000-CE1F-42C1-BE2C-B447D4A80693}"/>
            </c:ext>
          </c:extLst>
        </c:ser>
        <c:dLbls>
          <c:dLblPos val="outEnd"/>
          <c:showLegendKey val="0"/>
          <c:showVal val="1"/>
          <c:showCatName val="0"/>
          <c:showSerName val="0"/>
          <c:showPercent val="0"/>
          <c:showBubbleSize val="0"/>
        </c:dLbls>
        <c:gapWidth val="182"/>
        <c:axId val="1386023376"/>
        <c:axId val="1386025776"/>
      </c:barChart>
      <c:catAx>
        <c:axId val="138602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25776"/>
        <c:crosses val="autoZero"/>
        <c:auto val="1"/>
        <c:lblAlgn val="ctr"/>
        <c:lblOffset val="100"/>
        <c:noMultiLvlLbl val="0"/>
      </c:catAx>
      <c:valAx>
        <c:axId val="138602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23376"/>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a:noFill/>
        </a:ln>
        <a:effectLst/>
        <a:scene3d>
          <a:camera prst="orthographicFront"/>
          <a:lightRig rig="threePt" dir="t"/>
        </a:scene3d>
        <a:sp3d>
          <a:bevelT w="165100" prst="coolSlan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database_Final_5.xlsx]GENDER INSIGHTS !PivotTable12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spc="0" baseline="0">
                <a:solidFill>
                  <a:sysClr val="windowText" lastClr="000000"/>
                </a:solidFill>
              </a:rPr>
              <a:t>Total Quantity By Category</a:t>
            </a:r>
          </a:p>
        </c:rich>
      </c:tx>
      <c:layout>
        <c:manualLayout>
          <c:xMode val="edge"/>
          <c:yMode val="edge"/>
          <c:x val="0.28794635964622073"/>
          <c:y val="2.8344671201814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path path="circle">
              <a:fillToRect l="100000" b="100000"/>
            </a:path>
            <a:tileRect t="-100000" r="-100000"/>
          </a:gradFill>
          <a:ln>
            <a:noFill/>
          </a:ln>
          <a:effectLst/>
          <a:scene3d>
            <a:camera prst="orthographicFront"/>
            <a:lightRig rig="threePt" dir="t"/>
          </a:scene3d>
          <a:sp3d>
            <a:bevelT w="139700" prst="cross"/>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1605961226678"/>
          <c:y val="0.14163604549431319"/>
          <c:w val="0.68872489046438912"/>
          <c:h val="0.7900634295713036"/>
        </c:manualLayout>
      </c:layout>
      <c:barChart>
        <c:barDir val="bar"/>
        <c:grouping val="clustered"/>
        <c:varyColors val="0"/>
        <c:ser>
          <c:idx val="0"/>
          <c:order val="0"/>
          <c:tx>
            <c:strRef>
              <c:f>'GENDER INSIGHTS '!$Q$8</c:f>
              <c:strCache>
                <c:ptCount val="1"/>
                <c:pt idx="0">
                  <c:v>Total</c:v>
                </c:pt>
              </c:strCache>
            </c:strRef>
          </c:tx>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path path="circle">
                <a:fillToRect l="100000" b="100000"/>
              </a:path>
              <a:tileRect t="-100000" r="-100000"/>
            </a:gradFill>
            <a:ln>
              <a:noFill/>
            </a:ln>
            <a:effectLst/>
            <a:scene3d>
              <a:camera prst="orthographicFront"/>
              <a:lightRig rig="threePt" dir="t"/>
            </a:scene3d>
            <a:sp3d>
              <a:bevelT w="139700" prst="cross"/>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INSIGHTS '!$P$9:$P$17</c:f>
              <c:strCache>
                <c:ptCount val="8"/>
                <c:pt idx="0">
                  <c:v>Books</c:v>
                </c:pt>
                <c:pt idx="1">
                  <c:v>Clothing</c:v>
                </c:pt>
                <c:pt idx="2">
                  <c:v>Cosmetics</c:v>
                </c:pt>
                <c:pt idx="3">
                  <c:v>Food &amp; Beverage</c:v>
                </c:pt>
                <c:pt idx="4">
                  <c:v>Shoes</c:v>
                </c:pt>
                <c:pt idx="5">
                  <c:v>Souvenir</c:v>
                </c:pt>
                <c:pt idx="6">
                  <c:v>Technology</c:v>
                </c:pt>
                <c:pt idx="7">
                  <c:v>Toys</c:v>
                </c:pt>
              </c:strCache>
            </c:strRef>
          </c:cat>
          <c:val>
            <c:numRef>
              <c:f>'GENDER INSIGHTS '!$Q$9:$Q$17</c:f>
              <c:numCache>
                <c:formatCode>General</c:formatCode>
                <c:ptCount val="8"/>
                <c:pt idx="0">
                  <c:v>196</c:v>
                </c:pt>
                <c:pt idx="1">
                  <c:v>977</c:v>
                </c:pt>
                <c:pt idx="2">
                  <c:v>473</c:v>
                </c:pt>
                <c:pt idx="3">
                  <c:v>358</c:v>
                </c:pt>
                <c:pt idx="4">
                  <c:v>312</c:v>
                </c:pt>
                <c:pt idx="5">
                  <c:v>213</c:v>
                </c:pt>
                <c:pt idx="6">
                  <c:v>128</c:v>
                </c:pt>
                <c:pt idx="7">
                  <c:v>324</c:v>
                </c:pt>
              </c:numCache>
            </c:numRef>
          </c:val>
          <c:extLst>
            <c:ext xmlns:c16="http://schemas.microsoft.com/office/drawing/2014/chart" uri="{C3380CC4-5D6E-409C-BE32-E72D297353CC}">
              <c16:uniqueId val="{00000000-C051-42B9-902B-B6873FE59EBE}"/>
            </c:ext>
          </c:extLst>
        </c:ser>
        <c:dLbls>
          <c:dLblPos val="outEnd"/>
          <c:showLegendKey val="0"/>
          <c:showVal val="1"/>
          <c:showCatName val="0"/>
          <c:showSerName val="0"/>
          <c:showPercent val="0"/>
          <c:showBubbleSize val="0"/>
        </c:dLbls>
        <c:gapWidth val="182"/>
        <c:axId val="1276293376"/>
        <c:axId val="1276300096"/>
      </c:barChart>
      <c:catAx>
        <c:axId val="1276293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300096"/>
        <c:crosses val="autoZero"/>
        <c:auto val="1"/>
        <c:lblAlgn val="ctr"/>
        <c:lblOffset val="100"/>
        <c:noMultiLvlLbl val="0"/>
      </c:catAx>
      <c:valAx>
        <c:axId val="1276300096"/>
        <c:scaling>
          <c:orientation val="minMax"/>
        </c:scaling>
        <c:delete val="1"/>
        <c:axPos val="b"/>
        <c:numFmt formatCode="General" sourceLinked="1"/>
        <c:majorTickMark val="out"/>
        <c:minorTickMark val="none"/>
        <c:tickLblPos val="nextTo"/>
        <c:crossAx val="1276293376"/>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a:ln>
          <a:noFill/>
        </a:ln>
        <a:effectLst/>
        <a:scene3d>
          <a:camera prst="orthographicFront"/>
          <a:lightRig rig="threePt" dir="t"/>
        </a:scene3d>
        <a:sp3d prstMaterial="translucentPowder"/>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database_Final_5.xlsx]AGE INSIGHTS!PivotTable14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Shopping Distribution by Age</a:t>
            </a:r>
          </a:p>
        </c:rich>
      </c:tx>
      <c:layout>
        <c:manualLayout>
          <c:xMode val="edge"/>
          <c:yMode val="edge"/>
          <c:x val="0.34543923726401671"/>
          <c:y val="3.2459393662748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path path="circle">
              <a:fillToRect r="100000" b="100000"/>
            </a:path>
            <a:tileRect l="-100000" t="-100000"/>
          </a:gra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path path="circle">
              <a:fillToRect r="100000" b="100000"/>
            </a:path>
            <a:tileRect l="-100000" t="-100000"/>
          </a:gradFill>
          <a:ln>
            <a:noFill/>
          </a:ln>
          <a:effectLst/>
          <a:scene3d>
            <a:camera prst="orthographicFront"/>
            <a:lightRig rig="threePt" dir="t"/>
          </a:scene3d>
          <a:sp3d>
            <a:bevelT w="165100" prst="coolSlan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path path="circle">
              <a:fillToRect r="100000" b="100000"/>
            </a:path>
            <a:tileRect l="-100000" t="-100000"/>
          </a:gradFill>
          <a:ln>
            <a:noFill/>
          </a:ln>
          <a:effectLst/>
          <a:scene3d>
            <a:camera prst="orthographicFront"/>
            <a:lightRig rig="threePt" dir="t"/>
          </a:scene3d>
          <a:sp3d>
            <a:bevelT w="165100" prst="coolSlant"/>
          </a:sp3d>
        </c:spPr>
      </c:pivotFmt>
      <c:pivotFmt>
        <c:idx val="3"/>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path path="circle">
              <a:fillToRect r="100000" b="100000"/>
            </a:path>
            <a:tileRect l="-100000" t="-100000"/>
          </a:gradFill>
          <a:ln>
            <a:noFill/>
          </a:ln>
          <a:effectLst/>
          <a:scene3d>
            <a:camera prst="orthographicFront"/>
            <a:lightRig rig="threePt" dir="t"/>
          </a:scene3d>
          <a:sp3d>
            <a:bevelT w="165100" prst="coolSlant"/>
          </a:sp3d>
        </c:spPr>
      </c:pivotFmt>
    </c:pivotFmts>
    <c:plotArea>
      <c:layout>
        <c:manualLayout>
          <c:layoutTarget val="inner"/>
          <c:xMode val="edge"/>
          <c:yMode val="edge"/>
          <c:x val="0.19395428646590024"/>
          <c:y val="0.14902123598186592"/>
          <c:w val="0.71232818562827716"/>
          <c:h val="0.72322943462912903"/>
        </c:manualLayout>
      </c:layout>
      <c:barChart>
        <c:barDir val="col"/>
        <c:grouping val="clustered"/>
        <c:varyColors val="0"/>
        <c:ser>
          <c:idx val="0"/>
          <c:order val="0"/>
          <c:tx>
            <c:strRef>
              <c:f>'AGE INSIGHTS'!$B$7</c:f>
              <c:strCache>
                <c:ptCount val="1"/>
                <c:pt idx="0">
                  <c:v>Total</c:v>
                </c:pt>
              </c:strCache>
            </c:strRef>
          </c:tx>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path path="circle">
                <a:fillToRect r="100000" b="100000"/>
              </a:path>
              <a:tileRect l="-100000" t="-100000"/>
            </a:gradFill>
            <a:ln>
              <a:noFill/>
            </a:ln>
            <a:effectLst/>
            <a:scene3d>
              <a:camera prst="orthographicFront"/>
              <a:lightRig rig="threePt" dir="t"/>
            </a:scene3d>
            <a:sp3d>
              <a:bevelT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INSIGHTS'!$A$8:$A$13</c:f>
              <c:strCache>
                <c:ptCount val="5"/>
                <c:pt idx="0">
                  <c:v>18-25</c:v>
                </c:pt>
                <c:pt idx="1">
                  <c:v>26-35</c:v>
                </c:pt>
                <c:pt idx="2">
                  <c:v>36-45</c:v>
                </c:pt>
                <c:pt idx="3">
                  <c:v>46-60</c:v>
                </c:pt>
                <c:pt idx="4">
                  <c:v>60+</c:v>
                </c:pt>
              </c:strCache>
            </c:strRef>
          </c:cat>
          <c:val>
            <c:numRef>
              <c:f>'AGE INSIGHTS'!$B$8:$B$13</c:f>
              <c:numCache>
                <c:formatCode>General</c:formatCode>
                <c:ptCount val="5"/>
                <c:pt idx="0">
                  <c:v>159</c:v>
                </c:pt>
                <c:pt idx="1">
                  <c:v>185</c:v>
                </c:pt>
                <c:pt idx="2">
                  <c:v>203</c:v>
                </c:pt>
                <c:pt idx="3">
                  <c:v>265</c:v>
                </c:pt>
                <c:pt idx="4">
                  <c:v>188</c:v>
                </c:pt>
              </c:numCache>
            </c:numRef>
          </c:val>
          <c:extLst>
            <c:ext xmlns:c16="http://schemas.microsoft.com/office/drawing/2014/chart" uri="{C3380CC4-5D6E-409C-BE32-E72D297353CC}">
              <c16:uniqueId val="{00000002-9CC9-446C-A26F-47A0EC8A062A}"/>
            </c:ext>
          </c:extLst>
        </c:ser>
        <c:dLbls>
          <c:showLegendKey val="0"/>
          <c:showVal val="1"/>
          <c:showCatName val="0"/>
          <c:showSerName val="0"/>
          <c:showPercent val="0"/>
          <c:showBubbleSize val="0"/>
        </c:dLbls>
        <c:gapWidth val="182"/>
        <c:axId val="1304450336"/>
        <c:axId val="1304451296"/>
      </c:barChart>
      <c:catAx>
        <c:axId val="13044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51296"/>
        <c:crosses val="autoZero"/>
        <c:auto val="1"/>
        <c:lblAlgn val="ctr"/>
        <c:lblOffset val="100"/>
        <c:noMultiLvlLbl val="0"/>
      </c:catAx>
      <c:valAx>
        <c:axId val="130445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50336"/>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a:scene3d>
          <a:camera prst="orthographicFront"/>
          <a:lightRig rig="threePt" dir="t"/>
        </a:scene3d>
        <a:sp3d>
          <a:bevelT w="165100" prst="coolSlan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database_Final_5.xlsx]AGE INSIGHTS!PivotTable15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Total Quantity By Age </a:t>
            </a:r>
          </a:p>
        </c:rich>
      </c:tx>
      <c:layout>
        <c:manualLayout>
          <c:xMode val="edge"/>
          <c:yMode val="edge"/>
          <c:x val="0.29245662474008932"/>
          <c:y val="3.50274397518492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1"/>
            </a:solidFill>
            <a:ln w="9525">
              <a:solidFill>
                <a:schemeClr val="accent1"/>
              </a:solidFill>
            </a:ln>
            <a:effectLst/>
            <a:scene3d>
              <a:camera prst="orthographicFront"/>
              <a:lightRig rig="threePt" dir="t"/>
            </a:scene3d>
            <a:sp3d>
              <a:bevelT w="1651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50000"/>
              </a:schemeClr>
            </a:solidFill>
            <a:round/>
          </a:ln>
          <a:effectLst/>
        </c:spPr>
        <c:marker>
          <c:symbol val="circle"/>
          <c:size val="5"/>
          <c:spPr>
            <a:solidFill>
              <a:schemeClr val="tx1"/>
            </a:solidFill>
            <a:ln w="9525">
              <a:solidFill>
                <a:schemeClr val="accent1"/>
              </a:solidFill>
            </a:ln>
            <a:effectLst/>
            <a:scene3d>
              <a:camera prst="orthographicFront"/>
              <a:lightRig rig="threePt" dir="t"/>
            </a:scene3d>
            <a:sp3d>
              <a:bevelT w="165100" prst="coolSlant"/>
            </a:sp3d>
          </c:spPr>
        </c:marker>
      </c:pivotFmt>
      <c:pivotFmt>
        <c:idx val="2"/>
        <c:spPr>
          <a:ln w="28575" cap="rnd">
            <a:solidFill>
              <a:schemeClr val="accent1"/>
            </a:solidFill>
            <a:round/>
          </a:ln>
          <a:effectLst/>
        </c:spPr>
        <c:marker>
          <c:symbol val="circle"/>
          <c:size val="5"/>
          <c:spPr>
            <a:solidFill>
              <a:schemeClr val="tx1"/>
            </a:solidFill>
            <a:ln w="9525">
              <a:solidFill>
                <a:schemeClr val="accent1"/>
              </a:solidFill>
            </a:ln>
            <a:effectLst/>
            <a:scene3d>
              <a:camera prst="orthographicFront"/>
              <a:lightRig rig="threePt" dir="t"/>
            </a:scene3d>
            <a:sp3d>
              <a:bevelT w="1651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4300371544466"/>
          <c:y val="0.34466380338821284"/>
          <c:w val="0.76143163922691481"/>
          <c:h val="0.39486471009305657"/>
        </c:manualLayout>
      </c:layout>
      <c:lineChart>
        <c:grouping val="standard"/>
        <c:varyColors val="0"/>
        <c:ser>
          <c:idx val="0"/>
          <c:order val="0"/>
          <c:tx>
            <c:strRef>
              <c:f>'AGE INSIGHTS'!$G$7</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accent1"/>
                </a:solidFill>
              </a:ln>
              <a:effectLst/>
              <a:scene3d>
                <a:camera prst="orthographicFront"/>
                <a:lightRig rig="threePt" dir="t"/>
              </a:scene3d>
              <a:sp3d>
                <a:bevelT w="165100" prst="coolSlant"/>
              </a:sp3d>
            </c:spPr>
          </c:marker>
          <c:dPt>
            <c:idx val="4"/>
            <c:marker>
              <c:symbol val="circle"/>
              <c:size val="5"/>
              <c:spPr>
                <a:solidFill>
                  <a:schemeClr val="tx1"/>
                </a:solidFill>
                <a:ln w="9525">
                  <a:solidFill>
                    <a:schemeClr val="accent5">
                      <a:lumMod val="50000"/>
                    </a:schemeClr>
                  </a:solidFill>
                </a:ln>
                <a:effectLst/>
                <a:scene3d>
                  <a:camera prst="orthographicFront"/>
                  <a:lightRig rig="threePt" dir="t"/>
                </a:scene3d>
                <a:sp3d>
                  <a:bevelT w="165100" prst="coolSlant"/>
                </a:sp3d>
              </c:spPr>
            </c:marker>
            <c:bubble3D val="0"/>
            <c:spPr>
              <a:ln w="28575" cap="rnd">
                <a:solidFill>
                  <a:schemeClr val="accent5">
                    <a:lumMod val="50000"/>
                  </a:schemeClr>
                </a:solidFill>
                <a:round/>
              </a:ln>
              <a:effectLst/>
            </c:spPr>
            <c:extLst>
              <c:ext xmlns:c16="http://schemas.microsoft.com/office/drawing/2014/chart" uri="{C3380CC4-5D6E-409C-BE32-E72D297353CC}">
                <c16:uniqueId val="{00000003-FD74-4992-BD74-95678C7808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INSIGHTS'!$F$8:$F$13</c:f>
              <c:strCache>
                <c:ptCount val="5"/>
                <c:pt idx="0">
                  <c:v>18-25</c:v>
                </c:pt>
                <c:pt idx="1">
                  <c:v>26-35</c:v>
                </c:pt>
                <c:pt idx="2">
                  <c:v>36-45</c:v>
                </c:pt>
                <c:pt idx="3">
                  <c:v>46-60</c:v>
                </c:pt>
                <c:pt idx="4">
                  <c:v>60+</c:v>
                </c:pt>
              </c:strCache>
            </c:strRef>
          </c:cat>
          <c:val>
            <c:numRef>
              <c:f>'AGE INSIGHTS'!$G$8:$G$13</c:f>
              <c:numCache>
                <c:formatCode>General</c:formatCode>
                <c:ptCount val="5"/>
                <c:pt idx="0">
                  <c:v>479</c:v>
                </c:pt>
                <c:pt idx="1">
                  <c:v>553</c:v>
                </c:pt>
                <c:pt idx="2">
                  <c:v>618</c:v>
                </c:pt>
                <c:pt idx="3">
                  <c:v>799</c:v>
                </c:pt>
                <c:pt idx="4">
                  <c:v>532</c:v>
                </c:pt>
              </c:numCache>
            </c:numRef>
          </c:val>
          <c:smooth val="0"/>
          <c:extLst>
            <c:ext xmlns:c16="http://schemas.microsoft.com/office/drawing/2014/chart" uri="{C3380CC4-5D6E-409C-BE32-E72D297353CC}">
              <c16:uniqueId val="{00000000-FD74-4992-BD74-95678C7808BD}"/>
            </c:ext>
          </c:extLst>
        </c:ser>
        <c:dLbls>
          <c:dLblPos val="t"/>
          <c:showLegendKey val="0"/>
          <c:showVal val="1"/>
          <c:showCatName val="0"/>
          <c:showSerName val="0"/>
          <c:showPercent val="0"/>
          <c:showBubbleSize val="0"/>
        </c:dLbls>
        <c:marker val="1"/>
        <c:smooth val="0"/>
        <c:axId val="672870912"/>
        <c:axId val="672871392"/>
      </c:lineChart>
      <c:catAx>
        <c:axId val="67287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71392"/>
        <c:crosses val="autoZero"/>
        <c:auto val="1"/>
        <c:lblAlgn val="ctr"/>
        <c:lblOffset val="100"/>
        <c:noMultiLvlLbl val="0"/>
      </c:catAx>
      <c:valAx>
        <c:axId val="67287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8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database_Final_5.xlsx]AGE INSIGHTS!PivotTable17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Total Revenue By Age</a:t>
            </a:r>
          </a:p>
        </c:rich>
      </c:tx>
      <c:layout>
        <c:manualLayout>
          <c:xMode val="edge"/>
          <c:yMode val="edge"/>
          <c:x val="0.31788319848448698"/>
          <c:y val="2.9946914530420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25400">
            <a:solidFill>
              <a:schemeClr val="lt1"/>
            </a:solidFill>
          </a:ln>
          <a:effectLst/>
          <a:scene3d>
            <a:camera prst="orthographicFront"/>
            <a:lightRig rig="threePt" dir="t"/>
          </a:scene3d>
          <a:sp3d contourW="25400">
            <a:bevelT w="165100" prst="coolSlant"/>
            <a:contourClr>
              <a:schemeClr val="lt1"/>
            </a:contourClr>
          </a:sp3d>
        </c:spPr>
      </c:pivotFmt>
      <c:pivotFmt>
        <c:idx val="2"/>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dLbl>
          <c:idx val="0"/>
          <c:layout>
            <c:manualLayout>
              <c:x val="-8.1864898466639038E-2"/>
              <c:y val="-3.0396858287450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838513606851772E-2"/>
          <c:y val="0.21109121228267519"/>
          <c:w val="0.64227034120734905"/>
          <c:h val="0.61810283582973169"/>
        </c:manualLayout>
      </c:layout>
      <c:pie3DChart>
        <c:varyColors val="1"/>
        <c:ser>
          <c:idx val="0"/>
          <c:order val="0"/>
          <c:tx>
            <c:strRef>
              <c:f>'AGE INSIGHTS'!$L$7</c:f>
              <c:strCache>
                <c:ptCount val="1"/>
                <c:pt idx="0">
                  <c:v>Total</c:v>
                </c:pt>
              </c:strCache>
            </c:strRef>
          </c:tx>
          <c:spPr>
            <a:scene3d>
              <a:camera prst="orthographicFront"/>
              <a:lightRig rig="threePt" dir="t"/>
            </a:scene3d>
            <a:sp3d>
              <a:bevelT w="165100" prst="coolSlant"/>
              <a:contourClr>
                <a:srgbClr val="000000"/>
              </a:contourClr>
            </a:sp3d>
          </c:spPr>
          <c:dPt>
            <c:idx val="0"/>
            <c:bubble3D val="0"/>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extLst>
              <c:ext xmlns:c16="http://schemas.microsoft.com/office/drawing/2014/chart" uri="{C3380CC4-5D6E-409C-BE32-E72D297353CC}">
                <c16:uniqueId val="{00000004-655D-4EB3-9FC0-5880AFDD0486}"/>
              </c:ext>
            </c:extLst>
          </c:dPt>
          <c:dPt>
            <c:idx val="1"/>
            <c:bubble3D val="0"/>
            <c:spPr>
              <a:solidFill>
                <a:schemeClr val="accent2"/>
              </a:solidFill>
              <a:ln w="25400">
                <a:solidFill>
                  <a:schemeClr val="lt1"/>
                </a:solidFill>
              </a:ln>
              <a:effectLst/>
              <a:scene3d>
                <a:camera prst="orthographicFront"/>
                <a:lightRig rig="threePt" dir="t"/>
              </a:scene3d>
              <a:sp3d contourW="25400">
                <a:bevelT w="165100" prst="coolSlant"/>
                <a:contourClr>
                  <a:schemeClr val="lt1"/>
                </a:contourClr>
              </a:sp3d>
            </c:spPr>
          </c:dPt>
          <c:dPt>
            <c:idx val="2"/>
            <c:bubble3D val="0"/>
            <c:spPr>
              <a:solidFill>
                <a:schemeClr val="accent3"/>
              </a:solidFill>
              <a:ln w="25400">
                <a:solidFill>
                  <a:schemeClr val="lt1"/>
                </a:solidFill>
              </a:ln>
              <a:effectLst/>
              <a:scene3d>
                <a:camera prst="orthographicFront"/>
                <a:lightRig rig="threePt" dir="t"/>
              </a:scene3d>
              <a:sp3d contourW="25400">
                <a:bevelT w="165100" prst="coolSlant"/>
                <a:contourClr>
                  <a:schemeClr val="lt1"/>
                </a:contourClr>
              </a:sp3d>
            </c:spPr>
          </c:dPt>
          <c:dPt>
            <c:idx val="3"/>
            <c:bubble3D val="0"/>
            <c:spPr>
              <a:solidFill>
                <a:schemeClr val="accent4"/>
              </a:solidFill>
              <a:ln w="25400">
                <a:solidFill>
                  <a:schemeClr val="lt1"/>
                </a:solidFill>
              </a:ln>
              <a:effectLst/>
              <a:scene3d>
                <a:camera prst="orthographicFront"/>
                <a:lightRig rig="threePt" dir="t"/>
              </a:scene3d>
              <a:sp3d contourW="25400">
                <a:bevelT w="165100" prst="coolSlant"/>
                <a:contourClr>
                  <a:schemeClr val="lt1"/>
                </a:contourClr>
              </a:sp3d>
            </c:spPr>
            <c:extLst>
              <c:ext xmlns:c16="http://schemas.microsoft.com/office/drawing/2014/chart" uri="{C3380CC4-5D6E-409C-BE32-E72D297353CC}">
                <c16:uniqueId val="{00000003-655D-4EB3-9FC0-5880AFDD0486}"/>
              </c:ext>
            </c:extLst>
          </c:dPt>
          <c:dPt>
            <c:idx val="4"/>
            <c:bubble3D val="0"/>
            <c:spPr>
              <a:solidFill>
                <a:schemeClr val="accent1">
                  <a:lumMod val="60000"/>
                  <a:lumOff val="40000"/>
                </a:schemeClr>
              </a:solidFill>
              <a:ln w="25400">
                <a:solidFill>
                  <a:schemeClr val="lt1"/>
                </a:solidFill>
              </a:ln>
              <a:effectLst/>
              <a:scene3d>
                <a:camera prst="orthographicFront"/>
                <a:lightRig rig="threePt" dir="t"/>
              </a:scene3d>
              <a:sp3d contourW="25400">
                <a:bevelT w="165100" prst="coolSlant"/>
                <a:contourClr>
                  <a:schemeClr val="lt1"/>
                </a:contourClr>
              </a:sp3d>
            </c:spPr>
            <c:extLst>
              <c:ext xmlns:c16="http://schemas.microsoft.com/office/drawing/2014/chart" uri="{C3380CC4-5D6E-409C-BE32-E72D297353CC}">
                <c16:uniqueId val="{00000002-655D-4EB3-9FC0-5880AFDD0486}"/>
              </c:ext>
            </c:extLst>
          </c:dPt>
          <c:dLbls>
            <c:dLbl>
              <c:idx val="0"/>
              <c:layout>
                <c:manualLayout>
                  <c:x val="-8.1864898466639038E-2"/>
                  <c:y val="-3.03968582874509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5D-4EB3-9FC0-5880AFDD04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INSIGHTS'!$K$8:$K$13</c:f>
              <c:strCache>
                <c:ptCount val="5"/>
                <c:pt idx="0">
                  <c:v>18-25</c:v>
                </c:pt>
                <c:pt idx="1">
                  <c:v>26-35</c:v>
                </c:pt>
                <c:pt idx="2">
                  <c:v>36-45</c:v>
                </c:pt>
                <c:pt idx="3">
                  <c:v>46-60</c:v>
                </c:pt>
                <c:pt idx="4">
                  <c:v>60+</c:v>
                </c:pt>
              </c:strCache>
            </c:strRef>
          </c:cat>
          <c:val>
            <c:numRef>
              <c:f>'AGE INSIGHTS'!$L$8:$L$13</c:f>
              <c:numCache>
                <c:formatCode>0</c:formatCode>
                <c:ptCount val="5"/>
                <c:pt idx="0">
                  <c:v>47908837.550000042</c:v>
                </c:pt>
                <c:pt idx="1">
                  <c:v>59943048.830000043</c:v>
                </c:pt>
                <c:pt idx="2">
                  <c:v>80984623.440000072</c:v>
                </c:pt>
                <c:pt idx="3">
                  <c:v>133286359.53000012</c:v>
                </c:pt>
                <c:pt idx="4">
                  <c:v>78066563.120000005</c:v>
                </c:pt>
              </c:numCache>
            </c:numRef>
          </c:val>
          <c:extLst>
            <c:ext xmlns:c16="http://schemas.microsoft.com/office/drawing/2014/chart" uri="{C3380CC4-5D6E-409C-BE32-E72D297353CC}">
              <c16:uniqueId val="{00000000-655D-4EB3-9FC0-5880AFDD0486}"/>
            </c:ext>
          </c:extLst>
        </c:ser>
        <c:dLbls>
          <c:dLblPos val="bestFit"/>
          <c:showLegendKey val="0"/>
          <c:showVal val="1"/>
          <c:showCatName val="0"/>
          <c:showSerName val="0"/>
          <c:showPercent val="0"/>
          <c:showBubbleSize val="0"/>
          <c:showLeaderLines val="1"/>
        </c:dLbls>
      </c:pie3D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a:noFill/>
        </a:ln>
        <a:effectLst/>
        <a:scene3d>
          <a:camera prst="orthographicFront"/>
          <a:lightRig rig="threePt" dir="t"/>
        </a:scene3d>
        <a:sp3d>
          <a:bevelT w="165100" prst="coolSlant"/>
        </a:sp3d>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database_Final_5.xlsx]AGE INSIGHTS!PivotTable18</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scene3d>
            <a:camera prst="orthographicFront"/>
            <a:lightRig rig="threePt" dir="t"/>
          </a:scene3d>
          <a:sp3d>
            <a:bevelT w="165100" prst="coolSlan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cene3d>
            <a:camera prst="orthographicFront"/>
            <a:lightRig rig="threePt" dir="t"/>
          </a:scene3d>
          <a:sp3d>
            <a:bevelT w="101600" prst="riblet"/>
          </a:sp3d>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cene3d>
            <a:camera prst="orthographicFront"/>
            <a:lightRig rig="threePt" dir="t"/>
          </a:scene3d>
          <a:sp3d>
            <a:bevelT w="101600" prst="riblet"/>
          </a:sp3d>
        </c:spP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
        <c:idx val="5"/>
        <c:spPr>
          <a:solidFill>
            <a:srgbClr val="002060"/>
          </a:solidFill>
          <a:ln>
            <a:noFill/>
          </a:ln>
          <a:effectLst/>
          <a:scene3d>
            <a:camera prst="orthographicFront"/>
            <a:lightRig rig="threePt" dir="t"/>
          </a:scene3d>
          <a:sp3d>
            <a:bevelT w="101600" prst="riblet"/>
          </a:sp3d>
        </c:spPr>
        <c:dLbl>
          <c:idx val="0"/>
          <c:layout>
            <c:manualLayout>
              <c:x val="3.003003003003003E-3"/>
              <c:y val="-8.8435106325994967E-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5405405405405407E-2"/>
                  <c:h val="0.11554448551073972"/>
                </c:manualLayout>
              </c15:layout>
            </c:ext>
          </c:extLst>
        </c:dLbl>
      </c:pivotFmt>
      <c:pivotFmt>
        <c:idx val="6"/>
        <c:spPr>
          <a:solidFill>
            <a:srgbClr val="00B0F0"/>
          </a:solidFill>
          <a:ln>
            <a:noFill/>
          </a:ln>
          <a:effectLst/>
          <a:scene3d>
            <a:camera prst="orthographicFront"/>
            <a:lightRig rig="threePt" dir="t"/>
          </a:scene3d>
          <a:sp3d>
            <a:bevelT w="165100" prst="coolSlant"/>
          </a:sp3d>
        </c:spPr>
        <c:dLbl>
          <c:idx val="0"/>
          <c:layout>
            <c:manualLayout>
              <c:x val="0"/>
              <c:y val="-2.3809255985859021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17417417417418E-2"/>
                  <c:h val="8.1530880068562864E-2"/>
                </c:manualLayout>
              </c15:layout>
            </c:ext>
          </c:extLst>
        </c:dLbl>
      </c:pivotFmt>
      <c:pivotFmt>
        <c:idx val="7"/>
        <c:spPr>
          <a:solidFill>
            <a:srgbClr val="002060"/>
          </a:solidFill>
          <a:ln>
            <a:noFill/>
          </a:ln>
          <a:effectLst/>
          <a:scene3d>
            <a:camera prst="orthographicFront"/>
            <a:lightRig rig="threePt" dir="t"/>
          </a:scene3d>
          <a:sp3d>
            <a:bevelT w="101600" prst="riblet"/>
          </a:sp3d>
        </c:spPr>
        <c:dLbl>
          <c:idx val="0"/>
          <c:layout>
            <c:manualLayout>
              <c:x val="1.1822846471268481E-7"/>
              <c:y val="-0.14285714285714293"/>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9099099099099092E-2"/>
                  <c:h val="0.13595264877604585"/>
                </c:manualLayout>
              </c15:layout>
            </c:ext>
          </c:extLst>
        </c:dLbl>
      </c:pivotFmt>
      <c:pivotFmt>
        <c:idx val="8"/>
        <c:spPr>
          <a:solidFill>
            <a:srgbClr val="00B0F0"/>
          </a:solidFill>
          <a:ln>
            <a:noFill/>
          </a:ln>
          <a:effectLst/>
          <a:scene3d>
            <a:camera prst="orthographicFront"/>
            <a:lightRig rig="threePt" dir="t"/>
          </a:scene3d>
          <a:sp3d>
            <a:bevelT w="165100" prst="coolSlant"/>
          </a:sp3d>
        </c:spP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s>
    <c:view3D>
      <c:rotX val="15"/>
      <c:rotY val="20"/>
      <c:depthPercent val="100"/>
      <c:rAngAx val="1"/>
    </c:view3D>
    <c:floor>
      <c:thickness val="0"/>
      <c:spPr>
        <a:noFill/>
        <a:ln>
          <a:noFill/>
        </a:ln>
        <a:effectLst/>
        <a:sp3d/>
      </c:spPr>
    </c:floor>
    <c:sideWall>
      <c:thickness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a:effectLst/>
        <a:sp3d/>
      </c:spPr>
    </c:sideWall>
    <c:backWall>
      <c:thickness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a:noFill/>
        </a:ln>
        <a:effectLst/>
        <a:sp3d/>
      </c:spPr>
    </c:backWall>
    <c:plotArea>
      <c:layout>
        <c:manualLayout>
          <c:layoutTarget val="inner"/>
          <c:xMode val="edge"/>
          <c:yMode val="edge"/>
          <c:x val="0.20008495648570243"/>
          <c:y val="3.3753785584494246E-2"/>
          <c:w val="0.69278652668416452"/>
          <c:h val="0.89216030688471626"/>
        </c:manualLayout>
      </c:layout>
      <c:bar3DChart>
        <c:barDir val="col"/>
        <c:grouping val="clustered"/>
        <c:varyColors val="0"/>
        <c:ser>
          <c:idx val="0"/>
          <c:order val="0"/>
          <c:tx>
            <c:strRef>
              <c:f>'AGE INSIGHTS'!$Q$7:$Q$8</c:f>
              <c:strCache>
                <c:ptCount val="1"/>
                <c:pt idx="0">
                  <c:v>Female</c:v>
                </c:pt>
              </c:strCache>
            </c:strRef>
          </c:tx>
          <c:spPr>
            <a:solidFill>
              <a:srgbClr val="002060"/>
            </a:solidFill>
            <a:ln>
              <a:noFill/>
            </a:ln>
            <a:effectLst/>
            <a:scene3d>
              <a:camera prst="orthographicFront"/>
              <a:lightRig rig="threePt" dir="t"/>
            </a:scene3d>
            <a:sp3d>
              <a:bevelT w="101600" prst="riblet"/>
            </a:sp3d>
          </c:spPr>
          <c:invertIfNegative val="0"/>
          <c:dLbls>
            <c:dLbl>
              <c:idx val="0"/>
              <c:layout>
                <c:manualLayout>
                  <c:x val="1.1822846471268481E-7"/>
                  <c:y val="-0.14285714285714293"/>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9099099099099092E-2"/>
                      <c:h val="0.13595264877604585"/>
                    </c:manualLayout>
                  </c15:layout>
                </c:ext>
                <c:ext xmlns:c16="http://schemas.microsoft.com/office/drawing/2014/chart" uri="{C3380CC4-5D6E-409C-BE32-E72D297353CC}">
                  <c16:uniqueId val="{0000000F-9278-4C66-A99D-F2E5A9F29E67}"/>
                </c:ext>
              </c:extLst>
            </c:dLbl>
            <c:dLbl>
              <c:idx val="6"/>
              <c:layout>
                <c:manualLayout>
                  <c:x val="3.003003003003003E-3"/>
                  <c:y val="-8.8435106325994967E-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5405405405405407E-2"/>
                      <c:h val="0.11554448551073972"/>
                    </c:manualLayout>
                  </c15:layout>
                </c:ext>
                <c:ext xmlns:c16="http://schemas.microsoft.com/office/drawing/2014/chart" uri="{C3380CC4-5D6E-409C-BE32-E72D297353CC}">
                  <c16:uniqueId val="{0000000D-9278-4C66-A99D-F2E5A9F29E67}"/>
                </c:ext>
              </c:extLst>
            </c:dLbl>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INSIGHTS'!$P$9:$P$17</c:f>
              <c:strCache>
                <c:ptCount val="8"/>
                <c:pt idx="0">
                  <c:v>Books</c:v>
                </c:pt>
                <c:pt idx="1">
                  <c:v>Clothing</c:v>
                </c:pt>
                <c:pt idx="2">
                  <c:v>Cosmetics</c:v>
                </c:pt>
                <c:pt idx="3">
                  <c:v>Food &amp; Beverage</c:v>
                </c:pt>
                <c:pt idx="4">
                  <c:v>Shoes</c:v>
                </c:pt>
                <c:pt idx="5">
                  <c:v>Souvenir</c:v>
                </c:pt>
                <c:pt idx="6">
                  <c:v>Technology</c:v>
                </c:pt>
                <c:pt idx="7">
                  <c:v>Toys</c:v>
                </c:pt>
              </c:strCache>
            </c:strRef>
          </c:cat>
          <c:val>
            <c:numRef>
              <c:f>'AGE INSIGHTS'!$Q$9:$Q$17</c:f>
              <c:numCache>
                <c:formatCode>General</c:formatCode>
                <c:ptCount val="8"/>
                <c:pt idx="0">
                  <c:v>112</c:v>
                </c:pt>
                <c:pt idx="1">
                  <c:v>612</c:v>
                </c:pt>
                <c:pt idx="2">
                  <c:v>305</c:v>
                </c:pt>
                <c:pt idx="3">
                  <c:v>216</c:v>
                </c:pt>
                <c:pt idx="4">
                  <c:v>178</c:v>
                </c:pt>
                <c:pt idx="5">
                  <c:v>145</c:v>
                </c:pt>
                <c:pt idx="6">
                  <c:v>73</c:v>
                </c:pt>
                <c:pt idx="7">
                  <c:v>212</c:v>
                </c:pt>
              </c:numCache>
            </c:numRef>
          </c:val>
          <c:extLst>
            <c:ext xmlns:c16="http://schemas.microsoft.com/office/drawing/2014/chart" uri="{C3380CC4-5D6E-409C-BE32-E72D297353CC}">
              <c16:uniqueId val="{00000000-9278-4C66-A99D-F2E5A9F29E67}"/>
            </c:ext>
          </c:extLst>
        </c:ser>
        <c:ser>
          <c:idx val="1"/>
          <c:order val="1"/>
          <c:tx>
            <c:strRef>
              <c:f>'AGE INSIGHTS'!$R$7:$R$8</c:f>
              <c:strCache>
                <c:ptCount val="1"/>
                <c:pt idx="0">
                  <c:v>Male</c:v>
                </c:pt>
              </c:strCache>
            </c:strRef>
          </c:tx>
          <c:spPr>
            <a:solidFill>
              <a:srgbClr val="00B0F0"/>
            </a:solidFill>
            <a:ln>
              <a:noFill/>
            </a:ln>
            <a:effectLst/>
            <a:scene3d>
              <a:camera prst="orthographicFront"/>
              <a:lightRig rig="threePt" dir="t"/>
            </a:scene3d>
            <a:sp3d>
              <a:bevelT w="165100" prst="coolSlant"/>
            </a:sp3d>
          </c:spPr>
          <c:invertIfNegative val="0"/>
          <c:dLbls>
            <c:dLbl>
              <c:idx val="6"/>
              <c:layout>
                <c:manualLayout>
                  <c:x val="0"/>
                  <c:y val="-2.3809255985859021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17417417417418E-2"/>
                      <c:h val="8.1530880068562864E-2"/>
                    </c:manualLayout>
                  </c15:layout>
                </c:ext>
                <c:ext xmlns:c16="http://schemas.microsoft.com/office/drawing/2014/chart" uri="{C3380CC4-5D6E-409C-BE32-E72D297353CC}">
                  <c16:uniqueId val="{0000000E-9278-4C66-A99D-F2E5A9F29E67}"/>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INSIGHTS'!$P$9:$P$17</c:f>
              <c:strCache>
                <c:ptCount val="8"/>
                <c:pt idx="0">
                  <c:v>Books</c:v>
                </c:pt>
                <c:pt idx="1">
                  <c:v>Clothing</c:v>
                </c:pt>
                <c:pt idx="2">
                  <c:v>Cosmetics</c:v>
                </c:pt>
                <c:pt idx="3">
                  <c:v>Food &amp; Beverage</c:v>
                </c:pt>
                <c:pt idx="4">
                  <c:v>Shoes</c:v>
                </c:pt>
                <c:pt idx="5">
                  <c:v>Souvenir</c:v>
                </c:pt>
                <c:pt idx="6">
                  <c:v>Technology</c:v>
                </c:pt>
                <c:pt idx="7">
                  <c:v>Toys</c:v>
                </c:pt>
              </c:strCache>
            </c:strRef>
          </c:cat>
          <c:val>
            <c:numRef>
              <c:f>'AGE INSIGHTS'!$R$9:$R$17</c:f>
              <c:numCache>
                <c:formatCode>General</c:formatCode>
                <c:ptCount val="8"/>
                <c:pt idx="0">
                  <c:v>84</c:v>
                </c:pt>
                <c:pt idx="1">
                  <c:v>365</c:v>
                </c:pt>
                <c:pt idx="2">
                  <c:v>168</c:v>
                </c:pt>
                <c:pt idx="3">
                  <c:v>142</c:v>
                </c:pt>
                <c:pt idx="4">
                  <c:v>134</c:v>
                </c:pt>
                <c:pt idx="5">
                  <c:v>68</c:v>
                </c:pt>
                <c:pt idx="6">
                  <c:v>55</c:v>
                </c:pt>
                <c:pt idx="7">
                  <c:v>112</c:v>
                </c:pt>
              </c:numCache>
            </c:numRef>
          </c:val>
          <c:extLst>
            <c:ext xmlns:c16="http://schemas.microsoft.com/office/drawing/2014/chart" uri="{C3380CC4-5D6E-409C-BE32-E72D297353CC}">
              <c16:uniqueId val="{00000006-9278-4C66-A99D-F2E5A9F29E67}"/>
            </c:ext>
          </c:extLst>
        </c:ser>
        <c:dLbls>
          <c:showLegendKey val="0"/>
          <c:showVal val="1"/>
          <c:showCatName val="0"/>
          <c:showSerName val="0"/>
          <c:showPercent val="0"/>
          <c:showBubbleSize val="0"/>
        </c:dLbls>
        <c:gapWidth val="150"/>
        <c:shape val="box"/>
        <c:axId val="1774507056"/>
        <c:axId val="1774509936"/>
        <c:axId val="0"/>
      </c:bar3DChart>
      <c:catAx>
        <c:axId val="1774507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509936"/>
        <c:crosses val="autoZero"/>
        <c:auto val="1"/>
        <c:lblAlgn val="ctr"/>
        <c:lblOffset val="100"/>
        <c:noMultiLvlLbl val="0"/>
      </c:catAx>
      <c:valAx>
        <c:axId val="17745099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745070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database_Final_5.xlsx]PAYMENT METHOD INSIGHS!PivotTable19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solidFill>
                  <a:schemeClr val="tx1"/>
                </a:solidFill>
              </a:rPr>
              <a:t>Total quantity By Payment_Method And Gender</a:t>
            </a:r>
          </a:p>
        </c:rich>
      </c:tx>
      <c:layout>
        <c:manualLayout>
          <c:xMode val="edge"/>
          <c:yMode val="edge"/>
          <c:x val="0.27489407357567602"/>
          <c:y val="6.30381728599714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a:scene3d>
            <a:camera prst="orthographicFront"/>
            <a:lightRig rig="threePt" dir="t"/>
          </a:scene3d>
          <a:sp3d>
            <a:bevelT w="165100" prst="coolSlant"/>
          </a:sp3d>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scene3d>
            <a:camera prst="orthographicFront"/>
            <a:lightRig rig="threePt" dir="t"/>
          </a:scene3d>
          <a:sp3d>
            <a:bevelT w="165100" prst="coolSlan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sp3d/>
        </c:spPr>
      </c:pivotFmt>
      <c:pivotFmt>
        <c:idx val="7"/>
        <c:spPr>
          <a:solidFill>
            <a:srgbClr val="00B0F0"/>
          </a:solidFill>
          <a:ln>
            <a:noFill/>
          </a:ln>
          <a:effectLst/>
          <a:sp3d/>
        </c:spPr>
      </c:pivotFmt>
      <c:pivotFmt>
        <c:idx val="8"/>
        <c:spPr>
          <a:solidFill>
            <a:srgbClr val="00B0F0"/>
          </a:solidFill>
          <a:ln>
            <a:solidFill>
              <a:srgbClr val="00B0F0"/>
            </a:solidFill>
          </a:ln>
          <a:effectLst/>
          <a:sp3d>
            <a:contourClr>
              <a:srgbClr val="00B0F0"/>
            </a:contourClr>
          </a:sp3d>
        </c:spPr>
      </c:pivotFmt>
    </c:pivotFmts>
    <c:view3D>
      <c:rotX val="20"/>
      <c:rotY val="70"/>
      <c:depthPercent val="100"/>
      <c:rAngAx val="1"/>
    </c:view3D>
    <c:floor>
      <c:thickness val="0"/>
      <c:spPr>
        <a:noFill/>
        <a:ln>
          <a:noFill/>
        </a:ln>
        <a:effectLst/>
        <a:sp3d/>
      </c:spPr>
    </c:floor>
    <c:sideWall>
      <c:thickness val="0"/>
      <c:spPr>
        <a:noFill/>
        <a:ln>
          <a:noFill/>
        </a:ln>
        <a:effectLst/>
        <a:scene3d>
          <a:camera prst="orthographicFront"/>
          <a:lightRig rig="threePt" dir="t"/>
        </a:scene3d>
        <a:sp3d>
          <a:bevelT w="165100" prst="coolSlant"/>
        </a:sp3d>
      </c:spPr>
    </c:sideWall>
    <c:backWall>
      <c:thickness val="0"/>
      <c:spPr>
        <a:noFill/>
        <a:ln>
          <a:noFill/>
        </a:ln>
        <a:effectLst/>
        <a:scene3d>
          <a:camera prst="orthographicFront"/>
          <a:lightRig rig="threePt" dir="t"/>
        </a:scene3d>
        <a:sp3d>
          <a:bevelT w="165100" prst="coolSlant"/>
        </a:sp3d>
      </c:spPr>
    </c:backWall>
    <c:plotArea>
      <c:layout>
        <c:manualLayout>
          <c:layoutTarget val="inner"/>
          <c:xMode val="edge"/>
          <c:yMode val="edge"/>
          <c:x val="0.10661111307274931"/>
          <c:y val="0.17999723718745683"/>
          <c:w val="0.6652625260407472"/>
          <c:h val="0.58621448634710138"/>
        </c:manualLayout>
      </c:layout>
      <c:bar3DChart>
        <c:barDir val="col"/>
        <c:grouping val="clustered"/>
        <c:varyColors val="0"/>
        <c:ser>
          <c:idx val="0"/>
          <c:order val="0"/>
          <c:tx>
            <c:strRef>
              <c:f>'PAYMENT METHOD INSIGHS'!$B$7:$B$8</c:f>
              <c:strCache>
                <c:ptCount val="1"/>
                <c:pt idx="0">
                  <c:v>Female</c:v>
                </c:pt>
              </c:strCache>
            </c:strRef>
          </c:tx>
          <c:spPr>
            <a:solidFill>
              <a:schemeClr val="accent1"/>
            </a:solidFill>
            <a:ln>
              <a:noFill/>
            </a:ln>
            <a:effectLst/>
            <a:sp3d/>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INSIGHS'!$A$9:$A$12</c:f>
              <c:strCache>
                <c:ptCount val="3"/>
                <c:pt idx="0">
                  <c:v>Cash</c:v>
                </c:pt>
                <c:pt idx="1">
                  <c:v>Credit Card</c:v>
                </c:pt>
                <c:pt idx="2">
                  <c:v>Debit Card</c:v>
                </c:pt>
              </c:strCache>
            </c:strRef>
          </c:cat>
          <c:val>
            <c:numRef>
              <c:f>'PAYMENT METHOD INSIGHS'!$B$9:$B$12</c:f>
              <c:numCache>
                <c:formatCode>General</c:formatCode>
                <c:ptCount val="3"/>
                <c:pt idx="0">
                  <c:v>822</c:v>
                </c:pt>
                <c:pt idx="1">
                  <c:v>645</c:v>
                </c:pt>
                <c:pt idx="2">
                  <c:v>386</c:v>
                </c:pt>
              </c:numCache>
            </c:numRef>
          </c:val>
          <c:extLst>
            <c:ext xmlns:c16="http://schemas.microsoft.com/office/drawing/2014/chart" uri="{C3380CC4-5D6E-409C-BE32-E72D297353CC}">
              <c16:uniqueId val="{00000000-A2CD-4A62-9D1A-2A4DA7E2B794}"/>
            </c:ext>
          </c:extLst>
        </c:ser>
        <c:ser>
          <c:idx val="1"/>
          <c:order val="1"/>
          <c:tx>
            <c:strRef>
              <c:f>'PAYMENT METHOD INSIGHS'!$C$7:$C$8</c:f>
              <c:strCache>
                <c:ptCount val="1"/>
                <c:pt idx="0">
                  <c:v>Male</c:v>
                </c:pt>
              </c:strCache>
            </c:strRef>
          </c:tx>
          <c:spPr>
            <a:solidFill>
              <a:schemeClr val="accent2"/>
            </a:solidFill>
            <a:ln>
              <a:noFill/>
            </a:ln>
            <a:effectLst/>
            <a:sp3d/>
          </c:spPr>
          <c:invertIfNegative val="0"/>
          <c:dPt>
            <c:idx val="0"/>
            <c:invertIfNegative val="0"/>
            <c:bubble3D val="0"/>
            <c:spPr>
              <a:solidFill>
                <a:srgbClr val="00B0F0"/>
              </a:solidFill>
              <a:ln>
                <a:noFill/>
              </a:ln>
              <a:effectLst/>
              <a:sp3d/>
            </c:spPr>
          </c:dPt>
          <c:dPt>
            <c:idx val="1"/>
            <c:invertIfNegative val="0"/>
            <c:bubble3D val="0"/>
            <c:spPr>
              <a:solidFill>
                <a:srgbClr val="00B0F0"/>
              </a:solidFill>
              <a:ln>
                <a:noFill/>
              </a:ln>
              <a:effectLst/>
              <a:sp3d/>
            </c:spPr>
          </c:dPt>
          <c:dPt>
            <c:idx val="2"/>
            <c:invertIfNegative val="0"/>
            <c:bubble3D val="0"/>
            <c:spPr>
              <a:solidFill>
                <a:srgbClr val="00B0F0"/>
              </a:solidFill>
              <a:ln>
                <a:solidFill>
                  <a:srgbClr val="00B0F0"/>
                </a:solidFill>
              </a:ln>
              <a:effectLst/>
              <a:sp3d>
                <a:contourClr>
                  <a:srgbClr val="00B0F0"/>
                </a:contourClr>
              </a:sp3d>
            </c:spPr>
          </c:dPt>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INSIGHS'!$A$9:$A$12</c:f>
              <c:strCache>
                <c:ptCount val="3"/>
                <c:pt idx="0">
                  <c:v>Cash</c:v>
                </c:pt>
                <c:pt idx="1">
                  <c:v>Credit Card</c:v>
                </c:pt>
                <c:pt idx="2">
                  <c:v>Debit Card</c:v>
                </c:pt>
              </c:strCache>
            </c:strRef>
          </c:cat>
          <c:val>
            <c:numRef>
              <c:f>'PAYMENT METHOD INSIGHS'!$C$9:$C$12</c:f>
              <c:numCache>
                <c:formatCode>General</c:formatCode>
                <c:ptCount val="3"/>
                <c:pt idx="0">
                  <c:v>449</c:v>
                </c:pt>
                <c:pt idx="1">
                  <c:v>424</c:v>
                </c:pt>
                <c:pt idx="2">
                  <c:v>255</c:v>
                </c:pt>
              </c:numCache>
            </c:numRef>
          </c:val>
          <c:extLst>
            <c:ext xmlns:c16="http://schemas.microsoft.com/office/drawing/2014/chart" uri="{C3380CC4-5D6E-409C-BE32-E72D297353CC}">
              <c16:uniqueId val="{0000000F-A2CD-4A62-9D1A-2A4DA7E2B794}"/>
            </c:ext>
          </c:extLst>
        </c:ser>
        <c:dLbls>
          <c:showLegendKey val="0"/>
          <c:showVal val="0"/>
          <c:showCatName val="0"/>
          <c:showSerName val="0"/>
          <c:showPercent val="0"/>
          <c:showBubbleSize val="0"/>
        </c:dLbls>
        <c:gapWidth val="150"/>
        <c:shape val="box"/>
        <c:axId val="1880173808"/>
        <c:axId val="1880162288"/>
        <c:axId val="0"/>
      </c:bar3DChart>
      <c:catAx>
        <c:axId val="188017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162288"/>
        <c:crosses val="autoZero"/>
        <c:auto val="1"/>
        <c:lblAlgn val="ctr"/>
        <c:lblOffset val="100"/>
        <c:noMultiLvlLbl val="0"/>
      </c:catAx>
      <c:valAx>
        <c:axId val="188016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173808"/>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a:scene3d>
          <a:camera prst="orthographicFront"/>
          <a:lightRig rig="threePt" dir="t"/>
        </a:scene3d>
        <a:sp3d>
          <a:bevelT w="165100" prst="coolSlant"/>
        </a:sp3d>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database_Final_5.xlsx]PAYMENT METHOD INSIGHS!PivotTable20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tx1"/>
                </a:solidFill>
              </a:rPr>
              <a:t>Total Revenue By </a:t>
            </a:r>
            <a:r>
              <a:rPr lang="en-IN" sz="1000" b="1" i="0" u="none" strike="noStrike" kern="1200" spc="0" baseline="0">
                <a:solidFill>
                  <a:schemeClr val="tx1"/>
                </a:solidFill>
              </a:rPr>
              <a:t>Payment Method  </a:t>
            </a:r>
            <a:endParaRPr lang="en-IN" sz="1000" b="1">
              <a:solidFill>
                <a:schemeClr val="tx1"/>
              </a:solidFill>
            </a:endParaRPr>
          </a:p>
        </c:rich>
      </c:tx>
      <c:layout>
        <c:manualLayout>
          <c:xMode val="edge"/>
          <c:yMode val="edge"/>
          <c:x val="0.26108269052926425"/>
          <c:y val="5.3209257933667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marker>
          <c:symbol val="none"/>
        </c:marker>
        <c:dLbl>
          <c:idx val="0"/>
          <c:spPr>
            <a:solidFill>
              <a:srgbClr val="92D05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25400">
            <a:solidFill>
              <a:schemeClr val="lt1"/>
            </a:solidFill>
          </a:ln>
          <a:effectLst/>
          <a:scene3d>
            <a:camera prst="orthographicFront"/>
            <a:lightRig rig="threePt" dir="t"/>
          </a:scene3d>
          <a:sp3d contourW="25400">
            <a:bevelT w="165100" prst="coolSlant"/>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3"/>
          </a:solidFill>
          <a:ln w="25400">
            <a:solidFill>
              <a:schemeClr val="lt1"/>
            </a:solidFill>
          </a:ln>
          <a:effectLst/>
          <a:scene3d>
            <a:camera prst="orthographicFront"/>
            <a:lightRig rig="threePt" dir="t"/>
          </a:scene3d>
          <a:sp3d contourW="25400">
            <a:bevelT w="165100" prst="coolSlant"/>
            <a:contourClr>
              <a:schemeClr val="lt1"/>
            </a:contourClr>
          </a:sp3d>
        </c:spPr>
        <c:dLbl>
          <c:idx val="0"/>
          <c:layout>
            <c:manualLayout>
              <c:x val="0.17485119047619041"/>
              <c:y val="-5.952380952380959E-3"/>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40"/>
      <c:rotY val="0"/>
      <c:rAngAx val="0"/>
      <c:perspective val="7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005097019122605E-2"/>
          <c:y val="0.28275403074615674"/>
          <c:w val="0.58679784167604054"/>
          <c:h val="0.58252484064491938"/>
        </c:manualLayout>
      </c:layout>
      <c:pie3DChart>
        <c:varyColors val="1"/>
        <c:ser>
          <c:idx val="0"/>
          <c:order val="0"/>
          <c:tx>
            <c:strRef>
              <c:f>'PAYMENT METHOD INSIGHS'!$I$7</c:f>
              <c:strCache>
                <c:ptCount val="1"/>
                <c:pt idx="0">
                  <c:v>Total</c:v>
                </c:pt>
              </c:strCache>
            </c:strRef>
          </c:tx>
          <c:spPr>
            <a:scene3d>
              <a:camera prst="orthographicFront"/>
              <a:lightRig rig="threePt" dir="t"/>
            </a:scene3d>
            <a:sp3d>
              <a:bevelT w="165100" prst="coolSlant"/>
              <a:contourClr>
                <a:srgbClr val="000000"/>
              </a:contourClr>
            </a:sp3d>
          </c:spPr>
          <c:dPt>
            <c:idx val="0"/>
            <c:bubble3D val="0"/>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dPt>
          <c:dPt>
            <c:idx val="1"/>
            <c:bubble3D val="0"/>
            <c:spPr>
              <a:solidFill>
                <a:schemeClr val="accent2"/>
              </a:solidFill>
              <a:ln w="25400">
                <a:solidFill>
                  <a:schemeClr val="lt1"/>
                </a:solidFill>
              </a:ln>
              <a:effectLst/>
              <a:scene3d>
                <a:camera prst="orthographicFront"/>
                <a:lightRig rig="threePt" dir="t"/>
              </a:scene3d>
              <a:sp3d contourW="25400">
                <a:bevelT w="165100" prst="coolSlant"/>
                <a:contourClr>
                  <a:schemeClr val="lt1"/>
                </a:contourClr>
              </a:sp3d>
            </c:spPr>
            <c:extLst>
              <c:ext xmlns:c16="http://schemas.microsoft.com/office/drawing/2014/chart" uri="{C3380CC4-5D6E-409C-BE32-E72D297353CC}">
                <c16:uniqueId val="{00000002-7AE4-493D-B861-05797BB1D293}"/>
              </c:ext>
            </c:extLst>
          </c:dPt>
          <c:dPt>
            <c:idx val="2"/>
            <c:bubble3D val="0"/>
            <c:spPr>
              <a:solidFill>
                <a:schemeClr val="accent3"/>
              </a:solidFill>
              <a:ln w="25400">
                <a:solidFill>
                  <a:schemeClr val="lt1"/>
                </a:solidFill>
              </a:ln>
              <a:effectLst/>
              <a:scene3d>
                <a:camera prst="orthographicFront"/>
                <a:lightRig rig="threePt" dir="t"/>
              </a:scene3d>
              <a:sp3d contourW="25400">
                <a:bevelT w="165100" prst="coolSlant"/>
                <a:contourClr>
                  <a:schemeClr val="lt1"/>
                </a:contourClr>
              </a:sp3d>
            </c:spPr>
            <c:extLst>
              <c:ext xmlns:c16="http://schemas.microsoft.com/office/drawing/2014/chart" uri="{C3380CC4-5D6E-409C-BE32-E72D297353CC}">
                <c16:uniqueId val="{00000003-7AE4-493D-B861-05797BB1D293}"/>
              </c:ext>
            </c:extLst>
          </c:dPt>
          <c:dLbls>
            <c:dLbl>
              <c:idx val="2"/>
              <c:layout>
                <c:manualLayout>
                  <c:x val="0.17485119047619041"/>
                  <c:y val="-5.952380952380959E-3"/>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E4-493D-B861-05797BB1D293}"/>
                </c:ext>
              </c:extLst>
            </c:dLbl>
            <c:spPr>
              <a:solidFill>
                <a:srgbClr val="92D05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INSIGHS'!$H$8:$H$11</c:f>
              <c:strCache>
                <c:ptCount val="3"/>
                <c:pt idx="0">
                  <c:v>Cash</c:v>
                </c:pt>
                <c:pt idx="1">
                  <c:v>Credit Card</c:v>
                </c:pt>
                <c:pt idx="2">
                  <c:v>Debit Card</c:v>
                </c:pt>
              </c:strCache>
            </c:strRef>
          </c:cat>
          <c:val>
            <c:numRef>
              <c:f>'PAYMENT METHOD INSIGHS'!$I$8:$I$11</c:f>
              <c:numCache>
                <c:formatCode>General</c:formatCode>
                <c:ptCount val="3"/>
                <c:pt idx="0">
                  <c:v>363213568.32000047</c:v>
                </c:pt>
                <c:pt idx="1">
                  <c:v>233746000.63999999</c:v>
                </c:pt>
                <c:pt idx="2">
                  <c:v>95244452.89000003</c:v>
                </c:pt>
              </c:numCache>
            </c:numRef>
          </c:val>
          <c:extLst>
            <c:ext xmlns:c16="http://schemas.microsoft.com/office/drawing/2014/chart" uri="{C3380CC4-5D6E-409C-BE32-E72D297353CC}">
              <c16:uniqueId val="{00000000-7AE4-493D-B861-05797BB1D293}"/>
            </c:ext>
          </c:extLst>
        </c:ser>
        <c:dLbls>
          <c:dLblPos val="inEnd"/>
          <c:showLegendKey val="0"/>
          <c:showVal val="0"/>
          <c:showCatName val="0"/>
          <c:showSerName val="0"/>
          <c:showPercent val="0"/>
          <c:showBubbleSize val="0"/>
          <c:showLeaderLines val="0"/>
        </c:dLbls>
      </c:pie3D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a:effectLst/>
        <a:scene3d>
          <a:camera prst="orthographicFront"/>
          <a:lightRig rig="threePt" dir="t"/>
        </a:scene3d>
        <a:sp3d>
          <a:bevelT w="165100" prst="coolSlant"/>
        </a:sp3d>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rgbClr val="008080">
          <a:alpha val="40000"/>
        </a:srgbClr>
      </a:glo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[datamites database_Final_5.xlsx]PAYMENT METHOD INSIGHS!PivotTable21</c:name>
    <c:fmtId val="1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92D050"/>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pivotFmt>
      <c:pivotFmt>
        <c:idx val="3"/>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pivotFmt>
      <c:pivotFmt>
        <c:idx val="4"/>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INSIGHS'!$L$7</c:f>
              <c:strCache>
                <c:ptCount val="1"/>
                <c:pt idx="0">
                  <c:v>Sum of price</c:v>
                </c:pt>
              </c:strCache>
            </c:strRef>
          </c:tx>
          <c:dPt>
            <c:idx val="0"/>
            <c:bubble3D val="0"/>
            <c:spPr>
              <a:solidFill>
                <a:schemeClr val="accent1"/>
              </a:solidFill>
              <a:ln w="25400">
                <a:solidFill>
                  <a:schemeClr val="lt1"/>
                </a:solidFill>
              </a:ln>
              <a:effectLst/>
              <a:scene3d>
                <a:camera prst="orthographicFront"/>
                <a:lightRig rig="threePt" dir="t"/>
              </a:scene3d>
              <a:sp3d contourW="25400">
                <a:bevelT w="165100" prst="coolSlant"/>
                <a:contourClr>
                  <a:schemeClr val="lt1"/>
                </a:contourClr>
              </a:sp3d>
            </c:spPr>
            <c:extLst>
              <c:ext xmlns:c16="http://schemas.microsoft.com/office/drawing/2014/chart" uri="{C3380CC4-5D6E-409C-BE32-E72D297353CC}">
                <c16:uniqueId val="{00000004-1331-40A0-825E-F21916DACCA3}"/>
              </c:ext>
            </c:extLst>
          </c:dPt>
          <c:dPt>
            <c:idx val="1"/>
            <c:bubble3D val="0"/>
            <c:spPr>
              <a:solidFill>
                <a:schemeClr val="accent2"/>
              </a:solidFill>
              <a:ln w="25400">
                <a:solidFill>
                  <a:schemeClr val="lt1"/>
                </a:solidFill>
              </a:ln>
              <a:effectLst/>
              <a:scene3d>
                <a:camera prst="orthographicFront"/>
                <a:lightRig rig="threePt" dir="t"/>
              </a:scene3d>
              <a:sp3d contourW="25400">
                <a:bevelT w="165100" prst="coolSlant"/>
                <a:contourClr>
                  <a:schemeClr val="lt1"/>
                </a:contourClr>
              </a:sp3d>
            </c:spPr>
            <c:extLst>
              <c:ext xmlns:c16="http://schemas.microsoft.com/office/drawing/2014/chart" uri="{C3380CC4-5D6E-409C-BE32-E72D297353CC}">
                <c16:uniqueId val="{00000005-1331-40A0-825E-F21916DACCA3}"/>
              </c:ext>
            </c:extLst>
          </c:dPt>
          <c:dPt>
            <c:idx val="2"/>
            <c:bubble3D val="0"/>
            <c:spPr>
              <a:solidFill>
                <a:schemeClr val="accent3"/>
              </a:solidFill>
              <a:ln w="25400">
                <a:solidFill>
                  <a:schemeClr val="lt1"/>
                </a:solidFill>
              </a:ln>
              <a:effectLst/>
              <a:scene3d>
                <a:camera prst="orthographicFront"/>
                <a:lightRig rig="threePt" dir="t"/>
              </a:scene3d>
              <a:sp3d contourW="25400">
                <a:bevelT w="165100" prst="coolSlant"/>
                <a:contourClr>
                  <a:schemeClr val="lt1"/>
                </a:contourClr>
              </a:sp3d>
            </c:spPr>
            <c:extLst>
              <c:ext xmlns:c16="http://schemas.microsoft.com/office/drawing/2014/chart" uri="{C3380CC4-5D6E-409C-BE32-E72D297353CC}">
                <c16:uniqueId val="{00000003-1331-40A0-825E-F21916DACCA3}"/>
              </c:ext>
            </c:extLst>
          </c:dPt>
          <c:dLbls>
            <c:spPr>
              <a:solidFill>
                <a:srgbClr val="92D050"/>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INSIGHS'!$K$8:$K$11</c:f>
              <c:strCache>
                <c:ptCount val="3"/>
                <c:pt idx="0">
                  <c:v>Cash</c:v>
                </c:pt>
                <c:pt idx="1">
                  <c:v>Credit Card</c:v>
                </c:pt>
                <c:pt idx="2">
                  <c:v>Debit Card</c:v>
                </c:pt>
              </c:strCache>
            </c:strRef>
          </c:cat>
          <c:val>
            <c:numRef>
              <c:f>'PAYMENT METHOD INSIGHS'!$L$8:$L$11</c:f>
              <c:numCache>
                <c:formatCode>0%</c:formatCode>
                <c:ptCount val="3"/>
                <c:pt idx="0">
                  <c:v>0.43761564900645611</c:v>
                </c:pt>
                <c:pt idx="1">
                  <c:v>0.33484422589059409</c:v>
                </c:pt>
                <c:pt idx="2">
                  <c:v>0.22754012510295149</c:v>
                </c:pt>
              </c:numCache>
            </c:numRef>
          </c:val>
          <c:extLst>
            <c:ext xmlns:c16="http://schemas.microsoft.com/office/drawing/2014/chart" uri="{C3380CC4-5D6E-409C-BE32-E72D297353CC}">
              <c16:uniqueId val="{00000000-1331-40A0-825E-F21916DACCA3}"/>
            </c:ext>
          </c:extLst>
        </c:ser>
        <c:ser>
          <c:idx val="1"/>
          <c:order val="1"/>
          <c:tx>
            <c:strRef>
              <c:f>'PAYMENT METHOD INSIGHS'!$M$7</c:f>
              <c:strCache>
                <c:ptCount val="1"/>
                <c:pt idx="0">
                  <c:v>Count of price2</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INSIGHS'!$K$8:$K$11</c:f>
              <c:strCache>
                <c:ptCount val="3"/>
                <c:pt idx="0">
                  <c:v>Cash</c:v>
                </c:pt>
                <c:pt idx="1">
                  <c:v>Credit Card</c:v>
                </c:pt>
                <c:pt idx="2">
                  <c:v>Debit Card</c:v>
                </c:pt>
              </c:strCache>
            </c:strRef>
          </c:cat>
          <c:val>
            <c:numRef>
              <c:f>'PAYMENT METHOD INSIGHS'!$M$8:$M$11</c:f>
              <c:numCache>
                <c:formatCode>General</c:formatCode>
                <c:ptCount val="3"/>
                <c:pt idx="0">
                  <c:v>420</c:v>
                </c:pt>
                <c:pt idx="1">
                  <c:v>366</c:v>
                </c:pt>
                <c:pt idx="2">
                  <c:v>214</c:v>
                </c:pt>
              </c:numCache>
            </c:numRef>
          </c:val>
          <c:extLst>
            <c:ext xmlns:c16="http://schemas.microsoft.com/office/drawing/2014/chart" uri="{C3380CC4-5D6E-409C-BE32-E72D297353CC}">
              <c16:uniqueId val="{00000001-1331-40A0-825E-F21916DACCA3}"/>
            </c:ext>
          </c:extLst>
        </c:ser>
        <c:dLbls>
          <c:dLblPos val="bestFit"/>
          <c:showLegendKey val="0"/>
          <c:showVal val="1"/>
          <c:showCatName val="0"/>
          <c:showSerName val="0"/>
          <c:showPercent val="0"/>
          <c:showBubbleSize val="0"/>
          <c:showLeaderLines val="1"/>
        </c:dLbls>
      </c:pie3D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a:ln>
          <a:noFill/>
        </a:ln>
        <a:effectLst>
          <a:glow rad="228600">
            <a:srgbClr val="008080">
              <a:alpha val="40000"/>
            </a:srgbClr>
          </a:glow>
        </a:effectLst>
        <a:scene3d>
          <a:camera prst="orthographicFront"/>
          <a:lightRig rig="threePt" dir="t"/>
        </a:scene3d>
        <a:sp3d>
          <a:bevelT w="165100" prst="coolSlant"/>
        </a:sp3d>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rgbClr val="008080">
          <a:alpha val="40000"/>
        </a:srgbClr>
      </a:glow>
      <a:outerShdw blurRad="50800" dist="38100" dir="16200000" rotWithShape="0">
        <a:srgbClr val="008080">
          <a:alpha val="40000"/>
        </a:srgbClr>
      </a:outerShdw>
    </a:effectLst>
    <a:scene3d>
      <a:camera prst="orthographicFront"/>
      <a:lightRig rig="threePt" dir="t"/>
    </a:scene3d>
    <a:sp3d>
      <a:bevelT w="165100" prst="coolSlant"/>
    </a:sp3d>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39094B83-9D16-4741-9007-B608F87D690D}">
          <cx:tx>
            <cx:txData>
              <cx:f>_xlchart.v1.0</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plotArea>
      <cx:plotAreaRegion>
        <cx:series layoutId="clusteredColumn" uniqueId="{A1CFB4B8-AE89-4CC3-A470-C1279B63CCA7}">
          <cx:tx>
            <cx:txData>
              <cx:f>_xlchart.v1.4</cx:f>
              <cx:v>quantity</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57EF18A4-DF2D-4637-9544-49501117E61D}">
          <cx:tx>
            <cx:txData>
              <cx:f>_xlchart.v1.2</cx:f>
              <cx:v>price</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12</xdr:col>
      <xdr:colOff>22860</xdr:colOff>
      <xdr:row>0</xdr:row>
      <xdr:rowOff>30480</xdr:rowOff>
    </xdr:from>
    <xdr:to>
      <xdr:col>18</xdr:col>
      <xdr:colOff>381000</xdr:colOff>
      <xdr:row>13</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32E86A3-C4AB-29C2-07BB-F3C0AC79A6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81900" y="30480"/>
              <a:ext cx="4015740" cy="2518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7620</xdr:colOff>
      <xdr:row>14</xdr:row>
      <xdr:rowOff>60960</xdr:rowOff>
    </xdr:from>
    <xdr:to>
      <xdr:col>18</xdr:col>
      <xdr:colOff>350520</xdr:colOff>
      <xdr:row>27</xdr:row>
      <xdr:rowOff>156210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3EFC607-4F46-4A40-7F8E-EBB60D4E07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566660" y="2621280"/>
              <a:ext cx="4000500" cy="24726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365760</xdr:colOff>
      <xdr:row>0</xdr:row>
      <xdr:rowOff>0</xdr:rowOff>
    </xdr:from>
    <xdr:to>
      <xdr:col>25</xdr:col>
      <xdr:colOff>0</xdr:colOff>
      <xdr:row>13</xdr:row>
      <xdr:rowOff>11430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5991B7D-D48E-68FB-1E23-BAF660DDD8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582400" y="0"/>
              <a:ext cx="3901440" cy="2388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11</xdr:row>
      <xdr:rowOff>152400</xdr:rowOff>
    </xdr:from>
    <xdr:to>
      <xdr:col>4</xdr:col>
      <xdr:colOff>0</xdr:colOff>
      <xdr:row>26</xdr:row>
      <xdr:rowOff>7620</xdr:rowOff>
    </xdr:to>
    <xdr:graphicFrame macro="">
      <xdr:nvGraphicFramePr>
        <xdr:cNvPr id="2" name="Chart 1">
          <a:extLst>
            <a:ext uri="{FF2B5EF4-FFF2-40B4-BE49-F238E27FC236}">
              <a16:creationId xmlns:a16="http://schemas.microsoft.com/office/drawing/2014/main" id="{8F7E80E6-C33D-5177-4F9A-59DBE60CE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0</xdr:row>
      <xdr:rowOff>22860</xdr:rowOff>
    </xdr:from>
    <xdr:to>
      <xdr:col>10</xdr:col>
      <xdr:colOff>350520</xdr:colOff>
      <xdr:row>5</xdr:row>
      <xdr:rowOff>106680</xdr:rowOff>
    </xdr:to>
    <xdr:sp macro="" textlink="">
      <xdr:nvSpPr>
        <xdr:cNvPr id="3" name="Rectangle: Rounded Corners 2">
          <a:extLst>
            <a:ext uri="{FF2B5EF4-FFF2-40B4-BE49-F238E27FC236}">
              <a16:creationId xmlns:a16="http://schemas.microsoft.com/office/drawing/2014/main" id="{B11BD23F-2334-9F8C-FEF8-0CC04D5283B5}"/>
            </a:ext>
          </a:extLst>
        </xdr:cNvPr>
        <xdr:cNvSpPr/>
      </xdr:nvSpPr>
      <xdr:spPr>
        <a:xfrm>
          <a:off x="22860" y="22860"/>
          <a:ext cx="7536180" cy="1043940"/>
        </a:xfrm>
        <a:prstGeom prst="roundRect">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50000" t="50000" r="50000" b="50000"/>
          </a:path>
          <a:tileRect/>
        </a:gradFill>
        <a:ln>
          <a:solidFill>
            <a:schemeClr val="accent5">
              <a:lumMod val="50000"/>
            </a:schemeClr>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baseline="0">
              <a:solidFill>
                <a:schemeClr val="bg1"/>
              </a:solidFill>
            </a:rPr>
            <a:t>GENDER</a:t>
          </a:r>
          <a:r>
            <a:rPr lang="en-IN" sz="1200" b="1" baseline="0">
              <a:solidFill>
                <a:sysClr val="windowText" lastClr="000000"/>
              </a:solidFill>
            </a:rPr>
            <a:t> </a:t>
          </a:r>
          <a:r>
            <a:rPr lang="en-IN" sz="1200" b="1" baseline="0">
              <a:solidFill>
                <a:schemeClr val="bg1"/>
              </a:solidFill>
            </a:rPr>
            <a:t>INSIGHTS :-   </a:t>
          </a:r>
          <a:r>
            <a:rPr lang="en-IN" sz="1200" b="0"/>
            <a:t>Female customers contribute the highest share of customers, quantity sold, and total revenue.</a:t>
          </a:r>
        </a:p>
        <a:p>
          <a:r>
            <a:rPr lang="en-IN" sz="1200" b="0"/>
            <a:t>Approximately 62% of products sold are purchased by female customers.</a:t>
          </a:r>
        </a:p>
        <a:p>
          <a:endParaRPr lang="en-IN" sz="1200" b="0"/>
        </a:p>
        <a:p>
          <a:r>
            <a:rPr lang="en-IN" sz="1200" b="0"/>
            <a:t>*</a:t>
          </a:r>
          <a:r>
            <a:rPr lang="en-IN" sz="1200" b="0" baseline="0"/>
            <a:t> </a:t>
          </a:r>
          <a:r>
            <a:rPr lang="en-IN" sz="1200" b="0"/>
            <a:t>Female shoppers show higher engagement and stronger revenue contribution than male shoppers</a:t>
          </a:r>
          <a:r>
            <a:rPr lang="en-IN" b="0"/>
            <a:t>.</a:t>
          </a:r>
        </a:p>
        <a:p>
          <a:pPr algn="l"/>
          <a:endParaRPr lang="en-IN" sz="1100" b="0">
            <a:solidFill>
              <a:schemeClr val="bg1"/>
            </a:solidFill>
          </a:endParaRPr>
        </a:p>
      </xdr:txBody>
    </xdr:sp>
    <xdr:clientData/>
  </xdr:twoCellAnchor>
  <xdr:twoCellAnchor>
    <xdr:from>
      <xdr:col>4</xdr:col>
      <xdr:colOff>175260</xdr:colOff>
      <xdr:row>12</xdr:row>
      <xdr:rowOff>7620</xdr:rowOff>
    </xdr:from>
    <xdr:to>
      <xdr:col>8</xdr:col>
      <xdr:colOff>495300</xdr:colOff>
      <xdr:row>26</xdr:row>
      <xdr:rowOff>0</xdr:rowOff>
    </xdr:to>
    <xdr:graphicFrame macro="">
      <xdr:nvGraphicFramePr>
        <xdr:cNvPr id="6" name="Chart 5">
          <a:extLst>
            <a:ext uri="{FF2B5EF4-FFF2-40B4-BE49-F238E27FC236}">
              <a16:creationId xmlns:a16="http://schemas.microsoft.com/office/drawing/2014/main" id="{0A871C78-DACE-7E09-6B70-550071967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11</xdr:row>
      <xdr:rowOff>175260</xdr:rowOff>
    </xdr:from>
    <xdr:to>
      <xdr:col>14</xdr:col>
      <xdr:colOff>121920</xdr:colOff>
      <xdr:row>25</xdr:row>
      <xdr:rowOff>148590</xdr:rowOff>
    </xdr:to>
    <xdr:graphicFrame macro="">
      <xdr:nvGraphicFramePr>
        <xdr:cNvPr id="7" name="Chart 6">
          <a:extLst>
            <a:ext uri="{FF2B5EF4-FFF2-40B4-BE49-F238E27FC236}">
              <a16:creationId xmlns:a16="http://schemas.microsoft.com/office/drawing/2014/main" id="{1C0542A7-C90C-635B-1911-80F435C60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15240</xdr:colOff>
      <xdr:row>0</xdr:row>
      <xdr:rowOff>7621</xdr:rowOff>
    </xdr:from>
    <xdr:to>
      <xdr:col>13</xdr:col>
      <xdr:colOff>38100</xdr:colOff>
      <xdr:row>4</xdr:row>
      <xdr:rowOff>129540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AB81F973-EDB4-4699-C1B3-41C48278378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96200" y="7621"/>
              <a:ext cx="1691640" cy="853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160020</xdr:colOff>
      <xdr:row>0</xdr:row>
      <xdr:rowOff>0</xdr:rowOff>
    </xdr:from>
    <xdr:to>
      <xdr:col>15</xdr:col>
      <xdr:colOff>541020</xdr:colOff>
      <xdr:row>4</xdr:row>
      <xdr:rowOff>137160</xdr:rowOff>
    </xdr:to>
    <mc:AlternateContent xmlns:mc="http://schemas.openxmlformats.org/markup-compatibility/2006">
      <mc:Choice xmlns:a14="http://schemas.microsoft.com/office/drawing/2010/main" Requires="a14">
        <xdr:graphicFrame macro="">
          <xdr:nvGraphicFramePr>
            <xdr:cNvPr id="12" name="shopping_mall">
              <a:extLst>
                <a:ext uri="{FF2B5EF4-FFF2-40B4-BE49-F238E27FC236}">
                  <a16:creationId xmlns:a16="http://schemas.microsoft.com/office/drawing/2014/main" id="{BD8C3A26-EFF5-85C5-F8E4-08BB840C2A48}"/>
                </a:ext>
              </a:extLst>
            </xdr:cNvPr>
            <xdr:cNvGraphicFramePr/>
          </xdr:nvGraphicFramePr>
          <xdr:xfrm>
            <a:off x="0" y="0"/>
            <a:ext cx="0" cy="0"/>
          </xdr:xfrm>
          <a:graphic>
            <a:graphicData uri="http://schemas.microsoft.com/office/drawing/2010/slicer">
              <sle:slicer xmlns:sle="http://schemas.microsoft.com/office/drawing/2010/slicer" name="shopping_mall"/>
            </a:graphicData>
          </a:graphic>
        </xdr:graphicFrame>
      </mc:Choice>
      <mc:Fallback>
        <xdr:sp macro="" textlink="">
          <xdr:nvSpPr>
            <xdr:cNvPr id="0" name=""/>
            <xdr:cNvSpPr>
              <a:spLocks noTextEdit="1"/>
            </xdr:cNvSpPr>
          </xdr:nvSpPr>
          <xdr:spPr>
            <a:xfrm>
              <a:off x="9509760" y="0"/>
              <a:ext cx="16002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563880</xdr:colOff>
      <xdr:row>0</xdr:row>
      <xdr:rowOff>0</xdr:rowOff>
    </xdr:from>
    <xdr:to>
      <xdr:col>17</xdr:col>
      <xdr:colOff>91440</xdr:colOff>
      <xdr:row>4</xdr:row>
      <xdr:rowOff>129539</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11E367A8-F610-98F5-B9DF-19989E2244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132820" y="0"/>
              <a:ext cx="1562100" cy="861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213360</xdr:colOff>
      <xdr:row>17</xdr:row>
      <xdr:rowOff>0</xdr:rowOff>
    </xdr:from>
    <xdr:to>
      <xdr:col>19</xdr:col>
      <xdr:colOff>137160</xdr:colOff>
      <xdr:row>26</xdr:row>
      <xdr:rowOff>106680</xdr:rowOff>
    </xdr:to>
    <xdr:graphicFrame macro="">
      <xdr:nvGraphicFramePr>
        <xdr:cNvPr id="14" name="Chart 13">
          <a:extLst>
            <a:ext uri="{FF2B5EF4-FFF2-40B4-BE49-F238E27FC236}">
              <a16:creationId xmlns:a16="http://schemas.microsoft.com/office/drawing/2014/main" id="{B911E3F1-0998-5DC8-FDE2-4D1C09C61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30480</xdr:rowOff>
    </xdr:from>
    <xdr:to>
      <xdr:col>7</xdr:col>
      <xdr:colOff>525780</xdr:colOff>
      <xdr:row>5</xdr:row>
      <xdr:rowOff>0</xdr:rowOff>
    </xdr:to>
    <xdr:sp macro="" textlink="">
      <xdr:nvSpPr>
        <xdr:cNvPr id="2" name="Rectangle: Rounded Corners 1">
          <a:extLst>
            <a:ext uri="{FF2B5EF4-FFF2-40B4-BE49-F238E27FC236}">
              <a16:creationId xmlns:a16="http://schemas.microsoft.com/office/drawing/2014/main" id="{990DC996-1DA0-AF66-14AA-D3E3E28A54D0}"/>
            </a:ext>
          </a:extLst>
        </xdr:cNvPr>
        <xdr:cNvSpPr/>
      </xdr:nvSpPr>
      <xdr:spPr>
        <a:xfrm>
          <a:off x="45720" y="30480"/>
          <a:ext cx="6118860" cy="883920"/>
        </a:xfrm>
        <a:prstGeom prst="roundRect">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50000" t="50000" r="50000" b="50000"/>
          </a:path>
          <a:tileRect/>
        </a:gra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AGE INSIGHTS:-</a:t>
          </a:r>
          <a:r>
            <a:rPr lang="en-IN" sz="1100" b="1"/>
            <a:t>46–60 age group</a:t>
          </a:r>
          <a:r>
            <a:rPr lang="en-IN" sz="1100"/>
            <a:t> has the </a:t>
          </a:r>
          <a:r>
            <a:rPr lang="en-IN" sz="1100" b="1"/>
            <a:t>highest number of customers</a:t>
          </a:r>
          <a:r>
            <a:rPr lang="en-IN" sz="1100"/>
            <a:t>, indicating maximum shopping participation.</a:t>
          </a:r>
        </a:p>
        <a:p>
          <a:pPr algn="l"/>
          <a:r>
            <a:rPr lang="en-IN" sz="1100" b="1"/>
            <a:t>Revenue contribution is highest from the 46–60 age group</a:t>
          </a:r>
          <a:r>
            <a:rPr lang="en-IN" sz="1100"/>
            <a:t>, making them the most profitable segment.</a:t>
          </a:r>
          <a:endParaRPr lang="en-IN" sz="1100" b="1"/>
        </a:p>
      </xdr:txBody>
    </xdr:sp>
    <xdr:clientData/>
  </xdr:twoCellAnchor>
  <xdr:twoCellAnchor>
    <xdr:from>
      <xdr:col>0</xdr:col>
      <xdr:colOff>22860</xdr:colOff>
      <xdr:row>15</xdr:row>
      <xdr:rowOff>106680</xdr:rowOff>
    </xdr:from>
    <xdr:to>
      <xdr:col>4</xdr:col>
      <xdr:colOff>15240</xdr:colOff>
      <xdr:row>27</xdr:row>
      <xdr:rowOff>7620</xdr:rowOff>
    </xdr:to>
    <xdr:graphicFrame macro="">
      <xdr:nvGraphicFramePr>
        <xdr:cNvPr id="4" name="Chart 3">
          <a:extLst>
            <a:ext uri="{FF2B5EF4-FFF2-40B4-BE49-F238E27FC236}">
              <a16:creationId xmlns:a16="http://schemas.microsoft.com/office/drawing/2014/main" id="{DFA390F4-6E18-7A8F-10FF-0E782A7C0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15</xdr:row>
      <xdr:rowOff>121920</xdr:rowOff>
    </xdr:from>
    <xdr:to>
      <xdr:col>8</xdr:col>
      <xdr:colOff>403860</xdr:colOff>
      <xdr:row>27</xdr:row>
      <xdr:rowOff>22860</xdr:rowOff>
    </xdr:to>
    <xdr:graphicFrame macro="">
      <xdr:nvGraphicFramePr>
        <xdr:cNvPr id="5" name="Chart 4">
          <a:extLst>
            <a:ext uri="{FF2B5EF4-FFF2-40B4-BE49-F238E27FC236}">
              <a16:creationId xmlns:a16="http://schemas.microsoft.com/office/drawing/2014/main" id="{991DCD5D-7FCC-3C86-EABB-3EC8F2FA9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45720</xdr:colOff>
      <xdr:row>0</xdr:row>
      <xdr:rowOff>22861</xdr:rowOff>
    </xdr:from>
    <xdr:to>
      <xdr:col>10</xdr:col>
      <xdr:colOff>571500</xdr:colOff>
      <xdr:row>5</xdr:row>
      <xdr:rowOff>15240</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3B1B14AF-933A-4923-6C0F-5CB95A66B9A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294120" y="22861"/>
              <a:ext cx="175260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609600</xdr:colOff>
      <xdr:row>0</xdr:row>
      <xdr:rowOff>38100</xdr:rowOff>
    </xdr:from>
    <xdr:to>
      <xdr:col>13</xdr:col>
      <xdr:colOff>167640</xdr:colOff>
      <xdr:row>5</xdr:row>
      <xdr:rowOff>15239</xdr:rowOff>
    </xdr:to>
    <mc:AlternateContent xmlns:mc="http://schemas.openxmlformats.org/markup-compatibility/2006">
      <mc:Choice xmlns:a14="http://schemas.microsoft.com/office/drawing/2010/main" Requires="a14">
        <xdr:graphicFrame macro="">
          <xdr:nvGraphicFramePr>
            <xdr:cNvPr id="7" name="shopping_mall 1">
              <a:extLst>
                <a:ext uri="{FF2B5EF4-FFF2-40B4-BE49-F238E27FC236}">
                  <a16:creationId xmlns:a16="http://schemas.microsoft.com/office/drawing/2014/main" id="{CAF3AD71-818D-80A6-C9C8-147B8F1F3A83}"/>
                </a:ext>
              </a:extLst>
            </xdr:cNvPr>
            <xdr:cNvGraphicFramePr/>
          </xdr:nvGraphicFramePr>
          <xdr:xfrm>
            <a:off x="0" y="0"/>
            <a:ext cx="0" cy="0"/>
          </xdr:xfrm>
          <a:graphic>
            <a:graphicData uri="http://schemas.microsoft.com/office/drawing/2010/slicer">
              <sle:slicer xmlns:sle="http://schemas.microsoft.com/office/drawing/2010/slicer" name="shopping_mall 1"/>
            </a:graphicData>
          </a:graphic>
        </xdr:graphicFrame>
      </mc:Choice>
      <mc:Fallback>
        <xdr:sp macro="" textlink="">
          <xdr:nvSpPr>
            <xdr:cNvPr id="0" name=""/>
            <xdr:cNvSpPr>
              <a:spLocks noTextEdit="1"/>
            </xdr:cNvSpPr>
          </xdr:nvSpPr>
          <xdr:spPr>
            <a:xfrm>
              <a:off x="8084820" y="38100"/>
              <a:ext cx="182880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198120</xdr:colOff>
      <xdr:row>0</xdr:row>
      <xdr:rowOff>30481</xdr:rowOff>
    </xdr:from>
    <xdr:to>
      <xdr:col>15</xdr:col>
      <xdr:colOff>807720</xdr:colOff>
      <xdr:row>4</xdr:row>
      <xdr:rowOff>160020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E8A5BEC3-4435-1E19-9FED-16F612FAB51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944100" y="30481"/>
              <a:ext cx="1828800" cy="861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594360</xdr:colOff>
      <xdr:row>15</xdr:row>
      <xdr:rowOff>152400</xdr:rowOff>
    </xdr:from>
    <xdr:to>
      <xdr:col>12</xdr:col>
      <xdr:colOff>601980</xdr:colOff>
      <xdr:row>26</xdr:row>
      <xdr:rowOff>167640</xdr:rowOff>
    </xdr:to>
    <xdr:graphicFrame macro="">
      <xdr:nvGraphicFramePr>
        <xdr:cNvPr id="10" name="Chart 9">
          <a:extLst>
            <a:ext uri="{FF2B5EF4-FFF2-40B4-BE49-F238E27FC236}">
              <a16:creationId xmlns:a16="http://schemas.microsoft.com/office/drawing/2014/main" id="{754D68F7-41A3-3AFA-A69D-0BD4067A5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60960</xdr:colOff>
      <xdr:row>17</xdr:row>
      <xdr:rowOff>22860</xdr:rowOff>
    </xdr:from>
    <xdr:to>
      <xdr:col>19</xdr:col>
      <xdr:colOff>320040</xdr:colOff>
      <xdr:row>27</xdr:row>
      <xdr:rowOff>60960</xdr:rowOff>
    </xdr:to>
    <xdr:graphicFrame macro="">
      <xdr:nvGraphicFramePr>
        <xdr:cNvPr id="11" name="Chart 10">
          <a:extLst>
            <a:ext uri="{FF2B5EF4-FFF2-40B4-BE49-F238E27FC236}">
              <a16:creationId xmlns:a16="http://schemas.microsoft.com/office/drawing/2014/main" id="{B37C504E-6099-D292-30A1-9CF6287EA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45720</xdr:rowOff>
    </xdr:from>
    <xdr:to>
      <xdr:col>8</xdr:col>
      <xdr:colOff>998220</xdr:colOff>
      <xdr:row>5</xdr:row>
      <xdr:rowOff>45720</xdr:rowOff>
    </xdr:to>
    <xdr:sp macro="" textlink="">
      <xdr:nvSpPr>
        <xdr:cNvPr id="2" name="Rectangle: Rounded Corners 1">
          <a:extLst>
            <a:ext uri="{FF2B5EF4-FFF2-40B4-BE49-F238E27FC236}">
              <a16:creationId xmlns:a16="http://schemas.microsoft.com/office/drawing/2014/main" id="{341A3968-5E92-33D3-B2AD-8BEDCC295044}"/>
            </a:ext>
          </a:extLst>
        </xdr:cNvPr>
        <xdr:cNvSpPr/>
      </xdr:nvSpPr>
      <xdr:spPr>
        <a:xfrm>
          <a:off x="38100" y="45720"/>
          <a:ext cx="6979920" cy="914400"/>
        </a:xfrm>
        <a:prstGeom prst="roundRect">
          <a:avLst/>
        </a:prstGeom>
        <a:gradFill flip="none" rotWithShape="1">
          <a:gsLst>
            <a:gs pos="0">
              <a:srgbClr val="008080">
                <a:shade val="30000"/>
                <a:satMod val="115000"/>
              </a:srgbClr>
            </a:gs>
            <a:gs pos="50000">
              <a:srgbClr val="008080">
                <a:shade val="67500"/>
                <a:satMod val="115000"/>
              </a:srgbClr>
            </a:gs>
            <a:gs pos="100000">
              <a:srgbClr val="008080">
                <a:shade val="100000"/>
                <a:satMod val="115000"/>
              </a:srgbClr>
            </a:gs>
          </a:gsLst>
          <a:path path="circle">
            <a:fillToRect l="50000" t="50000" r="50000" b="50000"/>
          </a:path>
          <a:tileRect/>
        </a:gra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PAYMENT</a:t>
          </a:r>
          <a:r>
            <a:rPr lang="en-IN" sz="1100" b="1" baseline="0"/>
            <a:t> METHOD INSIGHTS:-</a:t>
          </a:r>
          <a:r>
            <a:rPr lang="en-IN"/>
            <a:t>Cash is the most preferred payment method, contributing around </a:t>
          </a:r>
          <a:r>
            <a:rPr lang="en-IN" b="1"/>
            <a:t>44% of total transactions</a:t>
          </a:r>
          <a:r>
            <a:rPr lang="en-IN"/>
            <a:t> and </a:t>
          </a:r>
          <a:r>
            <a:rPr lang="en-IN" b="1"/>
            <a:t>over 52% of total revenue</a:t>
          </a:r>
          <a:r>
            <a:rPr lang="en-IN"/>
            <a:t>, making it the dominant mode of payment. </a:t>
          </a:r>
          <a:r>
            <a:rPr lang="en-IN" b="1"/>
            <a:t>Female customers lead transactions across all payment methods</a:t>
          </a:r>
          <a:r>
            <a:rPr lang="en-IN"/>
            <a:t>, especially in Cash and Credit Cards, while the </a:t>
          </a:r>
          <a:r>
            <a:rPr lang="en-IN" b="1"/>
            <a:t>46–60 age group contributes the highest volume and revenue through Cash</a:t>
          </a:r>
          <a:r>
            <a:rPr lang="en-IN"/>
            <a:t>, highlighting a strong age-based payment preference.</a:t>
          </a:r>
          <a:endParaRPr lang="en-IN" sz="1100" b="1"/>
        </a:p>
      </xdr:txBody>
    </xdr:sp>
    <xdr:clientData/>
  </xdr:twoCellAnchor>
  <xdr:twoCellAnchor editAs="oneCell">
    <xdr:from>
      <xdr:col>9</xdr:col>
      <xdr:colOff>45720</xdr:colOff>
      <xdr:row>0</xdr:row>
      <xdr:rowOff>60961</xdr:rowOff>
    </xdr:from>
    <xdr:to>
      <xdr:col>10</xdr:col>
      <xdr:colOff>876300</xdr:colOff>
      <xdr:row>5</xdr:row>
      <xdr:rowOff>15241</xdr:rowOff>
    </xdr:to>
    <mc:AlternateContent xmlns:mc="http://schemas.openxmlformats.org/markup-compatibility/2006">
      <mc:Choice xmlns:a14="http://schemas.microsoft.com/office/drawing/2010/main" Requires="a14">
        <xdr:graphicFrame macro="">
          <xdr:nvGraphicFramePr>
            <xdr:cNvPr id="4" name="gender 2">
              <a:extLst>
                <a:ext uri="{FF2B5EF4-FFF2-40B4-BE49-F238E27FC236}">
                  <a16:creationId xmlns:a16="http://schemas.microsoft.com/office/drawing/2014/main" id="{D5B27588-2A2C-EB5D-7B7E-80CE6E5C2A3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7086600" y="60961"/>
              <a:ext cx="165354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891540</xdr:colOff>
      <xdr:row>0</xdr:row>
      <xdr:rowOff>60961</xdr:rowOff>
    </xdr:from>
    <xdr:to>
      <xdr:col>12</xdr:col>
      <xdr:colOff>693420</xdr:colOff>
      <xdr:row>5</xdr:row>
      <xdr:rowOff>7621</xdr:rowOff>
    </xdr:to>
    <mc:AlternateContent xmlns:mc="http://schemas.openxmlformats.org/markup-compatibility/2006">
      <mc:Choice xmlns:a14="http://schemas.microsoft.com/office/drawing/2010/main" Requires="a14">
        <xdr:graphicFrame macro="">
          <xdr:nvGraphicFramePr>
            <xdr:cNvPr id="5" name="shopping_mall 2">
              <a:extLst>
                <a:ext uri="{FF2B5EF4-FFF2-40B4-BE49-F238E27FC236}">
                  <a16:creationId xmlns:a16="http://schemas.microsoft.com/office/drawing/2014/main" id="{2A048CA6-4CB3-1E25-25D1-CCA86923910D}"/>
                </a:ext>
              </a:extLst>
            </xdr:cNvPr>
            <xdr:cNvGraphicFramePr/>
          </xdr:nvGraphicFramePr>
          <xdr:xfrm>
            <a:off x="0" y="0"/>
            <a:ext cx="0" cy="0"/>
          </xdr:xfrm>
          <a:graphic>
            <a:graphicData uri="http://schemas.microsoft.com/office/drawing/2010/slicer">
              <sle:slicer xmlns:sle="http://schemas.microsoft.com/office/drawing/2010/slicer" name="shopping_mall 2"/>
            </a:graphicData>
          </a:graphic>
        </xdr:graphicFrame>
      </mc:Choice>
      <mc:Fallback>
        <xdr:sp macro="" textlink="">
          <xdr:nvSpPr>
            <xdr:cNvPr id="0" name=""/>
            <xdr:cNvSpPr>
              <a:spLocks noTextEdit="1"/>
            </xdr:cNvSpPr>
          </xdr:nvSpPr>
          <xdr:spPr>
            <a:xfrm>
              <a:off x="8755380" y="60961"/>
              <a:ext cx="182880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754380</xdr:colOff>
      <xdr:row>0</xdr:row>
      <xdr:rowOff>68581</xdr:rowOff>
    </xdr:from>
    <xdr:to>
      <xdr:col>16</xdr:col>
      <xdr:colOff>91440</xdr:colOff>
      <xdr:row>5</xdr:row>
      <xdr:rowOff>38100</xdr:rowOff>
    </xdr:to>
    <mc:AlternateContent xmlns:mc="http://schemas.openxmlformats.org/markup-compatibility/2006">
      <mc:Choice xmlns:a14="http://schemas.microsoft.com/office/drawing/2010/main" Requires="a14">
        <xdr:graphicFrame macro="">
          <xdr:nvGraphicFramePr>
            <xdr:cNvPr id="6" name="category 2">
              <a:extLst>
                <a:ext uri="{FF2B5EF4-FFF2-40B4-BE49-F238E27FC236}">
                  <a16:creationId xmlns:a16="http://schemas.microsoft.com/office/drawing/2014/main" id="{2F3E2FE2-1551-4FB8-CB35-A19FE6639D7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0645140" y="68581"/>
              <a:ext cx="153162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15</xdr:row>
      <xdr:rowOff>15240</xdr:rowOff>
    </xdr:from>
    <xdr:to>
      <xdr:col>4</xdr:col>
      <xdr:colOff>381000</xdr:colOff>
      <xdr:row>26</xdr:row>
      <xdr:rowOff>175260</xdr:rowOff>
    </xdr:to>
    <xdr:graphicFrame macro="">
      <xdr:nvGraphicFramePr>
        <xdr:cNvPr id="7" name="Chart 6">
          <a:extLst>
            <a:ext uri="{FF2B5EF4-FFF2-40B4-BE49-F238E27FC236}">
              <a16:creationId xmlns:a16="http://schemas.microsoft.com/office/drawing/2014/main" id="{99ABAF36-5E62-8C7E-F848-49CF752D9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15</xdr:row>
      <xdr:rowOff>30480</xdr:rowOff>
    </xdr:from>
    <xdr:to>
      <xdr:col>9</xdr:col>
      <xdr:colOff>335280</xdr:colOff>
      <xdr:row>26</xdr:row>
      <xdr:rowOff>160020</xdr:rowOff>
    </xdr:to>
    <xdr:graphicFrame macro="">
      <xdr:nvGraphicFramePr>
        <xdr:cNvPr id="8" name="Chart 7">
          <a:extLst>
            <a:ext uri="{FF2B5EF4-FFF2-40B4-BE49-F238E27FC236}">
              <a16:creationId xmlns:a16="http://schemas.microsoft.com/office/drawing/2014/main" id="{3E4DC1EF-A1A7-AF96-4ABB-4D0D333DE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685800</xdr:colOff>
      <xdr:row>15</xdr:row>
      <xdr:rowOff>7620</xdr:rowOff>
    </xdr:from>
    <xdr:to>
      <xdr:col>13</xdr:col>
      <xdr:colOff>297180</xdr:colOff>
      <xdr:row>27</xdr:row>
      <xdr:rowOff>53340</xdr:rowOff>
    </xdr:to>
    <xdr:graphicFrame macro="">
      <xdr:nvGraphicFramePr>
        <xdr:cNvPr id="9" name="Chart 8">
          <a:extLst>
            <a:ext uri="{FF2B5EF4-FFF2-40B4-BE49-F238E27FC236}">
              <a16:creationId xmlns:a16="http://schemas.microsoft.com/office/drawing/2014/main" id="{14CB8060-B18B-A10F-A30E-76A76C5CF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shti sharma" refreshedDate="46027.639897337962" createdVersion="8" refreshedVersion="8" minRefreshableVersion="3" recordCount="1000" xr:uid="{C302FC4A-F6A8-43AD-9449-25025907F171}">
  <cacheSource type="worksheet">
    <worksheetSource ref="A1:K1001" sheet="datamites database_Final"/>
  </cacheSource>
  <cacheFields count="11">
    <cacheField name="invoice_no" numFmtId="0">
      <sharedItems/>
    </cacheField>
    <cacheField name="customer_id" numFmtId="0">
      <sharedItems/>
    </cacheField>
    <cacheField name="gender" numFmtId="0">
      <sharedItems count="2">
        <s v="Male"/>
        <s v="Female"/>
      </sharedItems>
    </cacheField>
    <cacheField name="age" numFmtId="0">
      <sharedItems containsSemiMixedTypes="0" containsString="0" containsNumber="1" containsInteger="1" minValue="18" maxValue="69" count="52">
        <n v="65"/>
        <n v="55"/>
        <n v="35"/>
        <n v="67"/>
        <n v="19"/>
        <n v="18"/>
        <n v="56"/>
        <n v="63"/>
        <n v="50"/>
        <n v="39"/>
        <n v="21"/>
        <n v="25"/>
        <n v="52"/>
        <n v="30"/>
        <n v="64"/>
        <n v="46"/>
        <n v="44"/>
        <n v="68"/>
        <n v="27"/>
        <n v="60"/>
        <n v="49"/>
        <n v="36"/>
        <n v="45"/>
        <n v="48"/>
        <n v="31"/>
        <n v="38"/>
        <n v="23"/>
        <n v="37"/>
        <n v="20"/>
        <n v="24"/>
        <n v="69"/>
        <n v="43"/>
        <n v="33"/>
        <n v="32"/>
        <n v="62"/>
        <n v="41"/>
        <n v="57"/>
        <n v="34"/>
        <n v="58"/>
        <n v="22"/>
        <n v="59"/>
        <n v="42"/>
        <n v="40"/>
        <n v="66"/>
        <n v="28"/>
        <n v="61"/>
        <n v="26"/>
        <n v="54"/>
        <n v="47"/>
        <n v="53"/>
        <n v="51"/>
        <n v="29"/>
      </sharedItems>
    </cacheField>
    <cacheField name="category" numFmtId="0">
      <sharedItems count="8">
        <s v="Clothing"/>
        <s v="Cosmetics"/>
        <s v="Books"/>
        <s v="Technology"/>
        <s v="Food &amp; Beverage"/>
        <s v="Shoes"/>
        <s v="Souvenir"/>
        <s v="Toys"/>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5.23" maxValue="5250" count="40">
        <n v="1500.4"/>
        <n v="203.3"/>
        <n v="600.16"/>
        <n v="45.45"/>
        <n v="4200"/>
        <n v="300.08"/>
        <n v="15.69"/>
        <n v="20.92"/>
        <n v="121.98"/>
        <n v="600.16999999999996"/>
        <n v="35.19"/>
        <n v="71.680000000000007"/>
        <n v="900.24"/>
        <n v="5250"/>
        <n v="5.23"/>
        <n v="75.75"/>
        <n v="143.36000000000001"/>
        <n v="23.46"/>
        <n v="1200.3399999999999"/>
        <n v="2400.6799999999998"/>
        <n v="10.46"/>
        <n v="60.6"/>
        <n v="3000.85"/>
        <n v="1200.32"/>
        <n v="26.15"/>
        <n v="81.319999999999993"/>
        <n v="58.65"/>
        <n v="1800.51"/>
        <n v="40.659999999999997"/>
        <n v="107.52"/>
        <n v="162.63999999999999"/>
        <n v="1050"/>
        <n v="46.92"/>
        <n v="179.2"/>
        <n v="35.840000000000003"/>
        <n v="2100"/>
        <n v="30.3"/>
        <n v="15.15"/>
        <n v="11.73"/>
        <n v="3150"/>
      </sharedItems>
    </cacheField>
    <cacheField name="payment_method" numFmtId="0">
      <sharedItems count="3">
        <s v="Cash"/>
        <s v="Debit Card"/>
        <s v="Credit Card"/>
      </sharedItems>
    </cacheField>
    <cacheField name="invoice_date" numFmtId="14">
      <sharedItems containsSemiMixedTypes="0" containsNonDate="0" containsDate="1" containsString="0" minDate="2021-01-01T00:00:00" maxDate="2023-03-07T00:00:00" count="580">
        <d v="2022-07-10T00:00:00"/>
        <d v="2021-06-18T00:00:00"/>
        <d v="2021-03-04T00:00:00"/>
        <d v="2023-01-05T00:00:00"/>
        <d v="2022-05-18T00:00:00"/>
        <d v="2021-06-19T00:00:00"/>
        <d v="2022-06-23T00:00:00"/>
        <d v="2021-10-19T00:00:00"/>
        <d v="2021-06-06T00:00:00"/>
        <d v="2022-07-24T00:00:00"/>
        <d v="2021-12-26T00:00:00"/>
        <d v="2023-01-02T00:00:00"/>
        <d v="2021-10-13T00:00:00"/>
        <d v="2021-06-14T00:00:00"/>
        <d v="2021-08-13T00:00:00"/>
        <d v="2021-10-16T00:00:00"/>
        <d v="2021-08-10T00:00:00"/>
        <d v="2021-02-03T00:00:00"/>
        <d v="2021-07-10T00:00:00"/>
        <d v="2022-04-26T00:00:00"/>
        <d v="2021-12-31T00:00:00"/>
        <d v="2022-10-09T00:00:00"/>
        <d v="2022-03-27T00:00:00"/>
        <d v="2021-04-17T00:00:00"/>
        <d v="2021-12-18T00:00:00"/>
        <d v="2021-11-23T00:00:00"/>
        <d v="2022-08-24T00:00:00"/>
        <d v="2021-11-16T00:00:00"/>
        <d v="2022-04-15T00:00:00"/>
        <d v="2021-09-12T00:00:00"/>
        <d v="2021-08-06T00:00:00"/>
        <d v="2022-09-13T00:00:00"/>
        <d v="2021-01-31T00:00:00"/>
        <d v="2022-11-18T00:00:00"/>
        <d v="2022-03-26T00:00:00"/>
        <d v="2022-07-16T00:00:00"/>
        <d v="2021-05-16T00:00:00"/>
        <d v="2021-08-28T00:00:00"/>
        <d v="2022-12-10T00:00:00"/>
        <d v="2022-04-25T00:00:00"/>
        <d v="2022-04-16T00:00:00"/>
        <d v="2021-11-17T00:00:00"/>
        <d v="2021-07-23T00:00:00"/>
        <d v="2021-02-25T00:00:00"/>
        <d v="2021-06-29T00:00:00"/>
        <d v="2021-01-25T00:00:00"/>
        <d v="2021-04-11T00:00:00"/>
        <d v="2021-11-15T00:00:00"/>
        <d v="2021-05-18T00:00:00"/>
        <d v="2021-12-07T00:00:00"/>
        <d v="2022-04-18T00:00:00"/>
        <d v="2022-09-18T00:00:00"/>
        <d v="2023-01-30T00:00:00"/>
        <d v="2021-07-28T00:00:00"/>
        <d v="2022-02-26T00:00:00"/>
        <d v="2022-12-20T00:00:00"/>
        <d v="2021-07-18T00:00:00"/>
        <d v="2022-02-25T00:00:00"/>
        <d v="2021-03-20T00:00:00"/>
        <d v="2022-11-20T00:00:00"/>
        <d v="2021-06-26T00:00:00"/>
        <d v="2021-04-19T00:00:00"/>
        <d v="2021-02-10T00:00:00"/>
        <d v="2021-08-31T00:00:00"/>
        <d v="2022-03-06T00:00:00"/>
        <d v="2021-04-12T00:00:00"/>
        <d v="2022-03-09T00:00:00"/>
        <d v="2022-10-15T00:00:00"/>
        <d v="2021-05-26T00:00:00"/>
        <d v="2022-11-21T00:00:00"/>
        <d v="2022-10-12T00:00:00"/>
        <d v="2022-05-13T00:00:00"/>
        <d v="2023-02-21T00:00:00"/>
        <d v="2023-02-28T00:00:00"/>
        <d v="2021-07-19T00:00:00"/>
        <d v="2022-10-20T00:00:00"/>
        <d v="2023-01-12T00:00:00"/>
        <d v="2022-12-19T00:00:00"/>
        <d v="2022-05-29T00:00:00"/>
        <d v="2023-03-03T00:00:00"/>
        <d v="2022-12-11T00:00:00"/>
        <d v="2021-02-13T00:00:00"/>
        <d v="2021-05-10T00:00:00"/>
        <d v="2021-06-28T00:00:00"/>
        <d v="2022-07-30T00:00:00"/>
        <d v="2022-08-13T00:00:00"/>
        <d v="2022-02-13T00:00:00"/>
        <d v="2021-12-24T00:00:00"/>
        <d v="2021-08-03T00:00:00"/>
        <d v="2022-08-16T00:00:00"/>
        <d v="2022-11-28T00:00:00"/>
        <d v="2022-12-12T00:00:00"/>
        <d v="2022-09-30T00:00:00"/>
        <d v="2021-08-20T00:00:00"/>
        <d v="2022-01-24T00:00:00"/>
        <d v="2022-07-11T00:00:00"/>
        <d v="2022-04-22T00:00:00"/>
        <d v="2022-04-20T00:00:00"/>
        <d v="2022-10-29T00:00:00"/>
        <d v="2022-11-17T00:00:00"/>
        <d v="2021-08-04T00:00:00"/>
        <d v="2022-12-13T00:00:00"/>
        <d v="2022-10-10T00:00:00"/>
        <d v="2022-05-23T00:00:00"/>
        <d v="2022-05-19T00:00:00"/>
        <d v="2022-12-30T00:00:00"/>
        <d v="2022-07-15T00:00:00"/>
        <d v="2022-08-01T00:00:00"/>
        <d v="2022-06-29T00:00:00"/>
        <d v="2021-08-24T00:00:00"/>
        <d v="2022-10-25T00:00:00"/>
        <d v="2021-05-02T00:00:00"/>
        <d v="2021-09-22T00:00:00"/>
        <d v="2021-04-15T00:00:00"/>
        <d v="2021-05-19T00:00:00"/>
        <d v="2021-07-05T00:00:00"/>
        <d v="2021-11-22T00:00:00"/>
        <d v="2022-01-17T00:00:00"/>
        <d v="2021-12-23T00:00:00"/>
        <d v="2022-12-02T00:00:00"/>
        <d v="2021-09-24T00:00:00"/>
        <d v="2022-02-01T00:00:00"/>
        <d v="2021-01-16T00:00:00"/>
        <d v="2023-03-06T00:00:00"/>
        <d v="2021-11-03T00:00:00"/>
        <d v="2021-06-16T00:00:00"/>
        <d v="2021-08-09T00:00:00"/>
        <d v="2023-01-10T00:00:00"/>
        <d v="2022-07-17T00:00:00"/>
        <d v="2022-04-21T00:00:00"/>
        <d v="2021-07-06T00:00:00"/>
        <d v="2021-04-22T00:00:00"/>
        <d v="2021-08-29T00:00:00"/>
        <d v="2022-12-24T00:00:00"/>
        <d v="2021-07-14T00:00:00"/>
        <d v="2023-03-02T00:00:00"/>
        <d v="2022-09-09T00:00:00"/>
        <d v="2021-04-16T00:00:00"/>
        <d v="2021-11-02T00:00:00"/>
        <d v="2023-02-24T00:00:00"/>
        <d v="2022-09-04T00:00:00"/>
        <d v="2022-04-12T00:00:00"/>
        <d v="2021-09-18T00:00:00"/>
        <d v="2021-01-04T00:00:00"/>
        <d v="2021-05-01T00:00:00"/>
        <d v="2022-01-14T00:00:00"/>
        <d v="2021-09-30T00:00:00"/>
        <d v="2021-11-08T00:00:00"/>
        <d v="2021-09-01T00:00:00"/>
        <d v="2021-01-01T00:00:00"/>
        <d v="2021-01-26T00:00:00"/>
        <d v="2021-02-19T00:00:00"/>
        <d v="2021-03-29T00:00:00"/>
        <d v="2021-12-19T00:00:00"/>
        <d v="2021-11-26T00:00:00"/>
        <d v="2023-02-03T00:00:00"/>
        <d v="2021-05-09T00:00:00"/>
        <d v="2021-10-10T00:00:00"/>
        <d v="2021-03-31T00:00:00"/>
        <d v="2021-03-24T00:00:00"/>
        <d v="2022-04-13T00:00:00"/>
        <d v="2021-11-06T00:00:00"/>
        <d v="2022-08-17T00:00:00"/>
        <d v="2022-06-26T00:00:00"/>
        <d v="2022-04-05T00:00:00"/>
        <d v="2022-01-19T00:00:00"/>
        <d v="2022-06-14T00:00:00"/>
        <d v="2021-06-05T00:00:00"/>
        <d v="2022-03-05T00:00:00"/>
        <d v="2021-08-07T00:00:00"/>
        <d v="2022-11-22T00:00:00"/>
        <d v="2021-11-09T00:00:00"/>
        <d v="2022-09-10T00:00:00"/>
        <d v="2021-05-25T00:00:00"/>
        <d v="2022-09-17T00:00:00"/>
        <d v="2021-01-03T00:00:00"/>
        <d v="2023-01-07T00:00:00"/>
        <d v="2021-07-30T00:00:00"/>
        <d v="2022-09-24T00:00:00"/>
        <d v="2022-09-14T00:00:00"/>
        <d v="2022-03-18T00:00:00"/>
        <d v="2022-02-20T00:00:00"/>
        <d v="2021-06-11T00:00:00"/>
        <d v="2021-11-24T00:00:00"/>
        <d v="2022-06-09T00:00:00"/>
        <d v="2021-11-27T00:00:00"/>
        <d v="2022-04-06T00:00:00"/>
        <d v="2022-03-21T00:00:00"/>
        <d v="2021-07-11T00:00:00"/>
        <d v="2022-05-12T00:00:00"/>
        <d v="2022-07-06T00:00:00"/>
        <d v="2023-01-18T00:00:00"/>
        <d v="2021-03-05T00:00:00"/>
        <d v="2022-04-09T00:00:00"/>
        <d v="2022-04-02T00:00:00"/>
        <d v="2021-06-03T00:00:00"/>
        <d v="2022-05-02T00:00:00"/>
        <d v="2021-09-15T00:00:00"/>
        <d v="2023-01-17T00:00:00"/>
        <d v="2023-02-18T00:00:00"/>
        <d v="2021-09-26T00:00:00"/>
        <d v="2021-05-03T00:00:00"/>
        <d v="2021-03-22T00:00:00"/>
        <d v="2021-08-11T00:00:00"/>
        <d v="2021-05-24T00:00:00"/>
        <d v="2022-11-27T00:00:00"/>
        <d v="2021-07-12T00:00:00"/>
        <d v="2021-03-07T00:00:00"/>
        <d v="2021-10-24T00:00:00"/>
        <d v="2022-08-08T00:00:00"/>
        <d v="2021-04-30T00:00:00"/>
        <d v="2021-08-18T00:00:00"/>
        <d v="2021-02-08T00:00:00"/>
        <d v="2022-12-29T00:00:00"/>
        <d v="2022-02-28T00:00:00"/>
        <d v="2022-02-02T00:00:00"/>
        <d v="2022-03-31T00:00:00"/>
        <d v="2021-01-05T00:00:00"/>
        <d v="2023-02-17T00:00:00"/>
        <d v="2021-01-19T00:00:00"/>
        <d v="2023-01-11T00:00:00"/>
        <d v="2023-02-07T00:00:00"/>
        <d v="2022-05-28T00:00:00"/>
        <d v="2021-04-10T00:00:00"/>
        <d v="2022-03-07T00:00:00"/>
        <d v="2021-04-02T00:00:00"/>
        <d v="2021-10-29T00:00:00"/>
        <d v="2021-04-06T00:00:00"/>
        <d v="2022-03-11T00:00:00"/>
        <d v="2021-10-11T00:00:00"/>
        <d v="2021-03-15T00:00:00"/>
        <d v="2021-10-17T00:00:00"/>
        <d v="2022-03-24T00:00:00"/>
        <d v="2022-08-12T00:00:00"/>
        <d v="2022-04-19T00:00:00"/>
        <d v="2021-01-08T00:00:00"/>
        <d v="2022-08-27T00:00:00"/>
        <d v="2021-06-08T00:00:00"/>
        <d v="2021-06-25T00:00:00"/>
        <d v="2023-01-04T00:00:00"/>
        <d v="2022-02-10T00:00:00"/>
        <d v="2021-08-16T00:00:00"/>
        <d v="2021-09-02T00:00:00"/>
        <d v="2021-01-13T00:00:00"/>
        <d v="2021-05-06T00:00:00"/>
        <d v="2023-02-15T00:00:00"/>
        <d v="2022-10-05T00:00:00"/>
        <d v="2021-08-22T00:00:00"/>
        <d v="2022-06-17T00:00:00"/>
        <d v="2021-12-20T00:00:00"/>
        <d v="2022-12-23T00:00:00"/>
        <d v="2022-08-26T00:00:00"/>
        <d v="2021-05-04T00:00:00"/>
        <d v="2021-08-25T00:00:00"/>
        <d v="2022-04-08T00:00:00"/>
        <d v="2021-02-12T00:00:00"/>
        <d v="2022-10-28T00:00:00"/>
        <d v="2021-06-21T00:00:00"/>
        <d v="2023-01-31T00:00:00"/>
        <d v="2022-04-27T00:00:00"/>
        <d v="2021-06-17T00:00:00"/>
        <d v="2021-06-09T00:00:00"/>
        <d v="2022-09-05T00:00:00"/>
        <d v="2022-06-18T00:00:00"/>
        <d v="2023-01-29T00:00:00"/>
        <d v="2022-09-27T00:00:00"/>
        <d v="2021-09-10T00:00:00"/>
        <d v="2021-09-21T00:00:00"/>
        <d v="2021-11-18T00:00:00"/>
        <d v="2021-09-07T00:00:00"/>
        <d v="2021-07-02T00:00:00"/>
        <d v="2022-12-01T00:00:00"/>
        <d v="2022-09-06T00:00:00"/>
        <d v="2021-06-13T00:00:00"/>
        <d v="2022-06-25T00:00:00"/>
        <d v="2021-02-04T00:00:00"/>
        <d v="2022-10-18T00:00:00"/>
        <d v="2022-02-12T00:00:00"/>
        <d v="2021-10-06T00:00:00"/>
        <d v="2021-08-01T00:00:00"/>
        <d v="2022-08-22T00:00:00"/>
        <d v="2022-01-22T00:00:00"/>
        <d v="2022-07-26T00:00:00"/>
        <d v="2022-12-25T00:00:00"/>
        <d v="2021-11-12T00:00:00"/>
        <d v="2022-06-08T00:00:00"/>
        <d v="2022-08-21T00:00:00"/>
        <d v="2022-01-31T00:00:00"/>
        <d v="2021-09-23T00:00:00"/>
        <d v="2022-12-22T00:00:00"/>
        <d v="2022-03-10T00:00:00"/>
        <d v="2022-05-20T00:00:00"/>
        <d v="2022-05-11T00:00:00"/>
        <d v="2022-06-20T00:00:00"/>
        <d v="2022-08-06T00:00:00"/>
        <d v="2022-07-04T00:00:00"/>
        <d v="2021-03-11T00:00:00"/>
        <d v="2022-04-30T00:00:00"/>
        <d v="2022-10-06T00:00:00"/>
        <d v="2022-07-05T00:00:00"/>
        <d v="2021-03-14T00:00:00"/>
        <d v="2021-01-21T00:00:00"/>
        <d v="2021-12-11T00:00:00"/>
        <d v="2022-06-22T00:00:00"/>
        <d v="2022-03-02T00:00:00"/>
        <d v="2022-06-30T00:00:00"/>
        <d v="2022-06-19T00:00:00"/>
        <d v="2023-02-13T00:00:00"/>
        <d v="2023-01-14T00:00:00"/>
        <d v="2022-05-21T00:00:00"/>
        <d v="2021-03-12T00:00:00"/>
        <d v="2021-09-29T00:00:00"/>
        <d v="2021-02-09T00:00:00"/>
        <d v="2022-05-01T00:00:00"/>
        <d v="2022-06-24T00:00:00"/>
        <d v="2021-03-06T00:00:00"/>
        <d v="2021-04-21T00:00:00"/>
        <d v="2021-06-02T00:00:00"/>
        <d v="2022-08-31T00:00:00"/>
        <d v="2021-06-10T00:00:00"/>
        <d v="2021-01-22T00:00:00"/>
        <d v="2022-03-25T00:00:00"/>
        <d v="2022-09-12T00:00:00"/>
        <d v="2022-03-23T00:00:00"/>
        <d v="2021-12-08T00:00:00"/>
        <d v="2021-05-29T00:00:00"/>
        <d v="2022-11-26T00:00:00"/>
        <d v="2021-02-07T00:00:00"/>
        <d v="2021-10-22T00:00:00"/>
        <d v="2021-12-30T00:00:00"/>
        <d v="2023-01-16T00:00:00"/>
        <d v="2021-09-08T00:00:00"/>
        <d v="2022-07-31T00:00:00"/>
        <d v="2022-06-07T00:00:00"/>
        <d v="2022-11-10T00:00:00"/>
        <d v="2022-06-13T00:00:00"/>
        <d v="2021-08-12T00:00:00"/>
        <d v="2021-02-27T00:00:00"/>
        <d v="2021-04-29T00:00:00"/>
        <d v="2021-07-08T00:00:00"/>
        <d v="2022-08-10T00:00:00"/>
        <d v="2021-11-29T00:00:00"/>
        <d v="2022-08-04T00:00:00"/>
        <d v="2021-09-05T00:00:00"/>
        <d v="2021-12-17T00:00:00"/>
        <d v="2021-12-05T00:00:00"/>
        <d v="2021-10-15T00:00:00"/>
        <d v="2021-04-09T00:00:00"/>
        <d v="2022-12-26T00:00:00"/>
        <d v="2022-07-21T00:00:00"/>
        <d v="2022-01-11T00:00:00"/>
        <d v="2022-09-29T00:00:00"/>
        <d v="2022-05-06T00:00:00"/>
        <d v="2023-01-15T00:00:00"/>
        <d v="2022-03-14T00:00:00"/>
        <d v="2021-08-30T00:00:00"/>
        <d v="2022-06-16T00:00:00"/>
        <d v="2022-04-23T00:00:00"/>
        <d v="2022-03-28T00:00:00"/>
        <d v="2022-08-18T00:00:00"/>
        <d v="2021-01-17T00:00:00"/>
        <d v="2022-07-01T00:00:00"/>
        <d v="2023-03-01T00:00:00"/>
        <d v="2022-12-07T00:00:00"/>
        <d v="2021-12-13T00:00:00"/>
        <d v="2021-07-20T00:00:00"/>
        <d v="2021-12-27T00:00:00"/>
        <d v="2022-06-05T00:00:00"/>
        <d v="2022-07-14T00:00:00"/>
        <d v="2022-11-06T00:00:00"/>
        <d v="2022-07-28T00:00:00"/>
        <d v="2023-02-02T00:00:00"/>
        <d v="2023-03-04T00:00:00"/>
        <d v="2021-04-03T00:00:00"/>
        <d v="2022-09-26T00:00:00"/>
        <d v="2021-05-17T00:00:00"/>
        <d v="2021-10-25T00:00:00"/>
        <d v="2021-08-08T00:00:00"/>
        <d v="2021-10-05T00:00:00"/>
        <d v="2023-01-25T00:00:00"/>
        <d v="2021-11-28T00:00:00"/>
        <d v="2022-12-28T00:00:00"/>
        <d v="2021-01-10T00:00:00"/>
        <d v="2022-03-19T00:00:00"/>
        <d v="2021-09-25T00:00:00"/>
        <d v="2022-06-03T00:00:00"/>
        <d v="2022-07-22T00:00:00"/>
        <d v="2021-12-06T00:00:00"/>
        <d v="2022-11-29T00:00:00"/>
        <d v="2021-02-02T00:00:00"/>
        <d v="2021-01-23T00:00:00"/>
        <d v="2021-06-12T00:00:00"/>
        <d v="2023-02-10T00:00:00"/>
        <d v="2022-08-28T00:00:00"/>
        <d v="2021-12-03T00:00:00"/>
        <d v="2022-03-04T00:00:00"/>
        <d v="2022-11-01T00:00:00"/>
        <d v="2022-10-11T00:00:00"/>
        <d v="2021-11-04T00:00:00"/>
        <d v="2022-03-29T00:00:00"/>
        <d v="2022-03-16T00:00:00"/>
        <d v="2022-05-04T00:00:00"/>
        <d v="2021-11-07T00:00:00"/>
        <d v="2023-01-23T00:00:00"/>
        <d v="2021-07-21T00:00:00"/>
        <d v="2021-04-05T00:00:00"/>
        <d v="2021-04-25T00:00:00"/>
        <d v="2022-10-22T00:00:00"/>
        <d v="2023-02-14T00:00:00"/>
        <d v="2021-06-22T00:00:00"/>
        <d v="2022-07-13T00:00:00"/>
        <d v="2021-09-06T00:00:00"/>
        <d v="2022-01-05T00:00:00"/>
        <d v="2021-11-10T00:00:00"/>
        <d v="2021-08-14T00:00:00"/>
        <d v="2022-11-11T00:00:00"/>
        <d v="2021-11-25T00:00:00"/>
        <d v="2021-04-23T00:00:00"/>
        <d v="2022-05-14T00:00:00"/>
        <d v="2021-04-27T00:00:00"/>
        <d v="2022-10-14T00:00:00"/>
        <d v="2022-04-29T00:00:00"/>
        <d v="2023-01-22T00:00:00"/>
        <d v="2021-12-14T00:00:00"/>
        <d v="2022-06-10T00:00:00"/>
        <d v="2021-04-18T00:00:00"/>
        <d v="2021-02-22T00:00:00"/>
        <d v="2022-02-17T00:00:00"/>
        <d v="2022-09-20T00:00:00"/>
        <d v="2021-02-24T00:00:00"/>
        <d v="2022-07-29T00:00:00"/>
        <d v="2022-09-22T00:00:00"/>
        <d v="2021-10-20T00:00:00"/>
        <d v="2021-10-26T00:00:00"/>
        <d v="2023-02-16T00:00:00"/>
        <d v="2021-06-15T00:00:00"/>
        <d v="2021-02-16T00:00:00"/>
        <d v="2023-02-25T00:00:00"/>
        <d v="2023-01-24T00:00:00"/>
        <d v="2022-02-03T00:00:00"/>
        <d v="2021-11-11T00:00:00"/>
        <d v="2022-01-07T00:00:00"/>
        <d v="2022-08-14T00:00:00"/>
        <d v="2023-02-22T00:00:00"/>
        <d v="2021-02-01T00:00:00"/>
        <d v="2021-09-16T00:00:00"/>
        <d v="2022-10-01T00:00:00"/>
        <d v="2021-03-28T00:00:00"/>
        <d v="2021-10-02T00:00:00"/>
        <d v="2021-01-07T00:00:00"/>
        <d v="2021-11-13T00:00:00"/>
        <d v="2021-02-26T00:00:00"/>
        <d v="2022-01-23T00:00:00"/>
        <d v="2022-04-07T00:00:00"/>
        <d v="2022-10-21T00:00:00"/>
        <d v="2021-08-21T00:00:00"/>
        <d v="2021-05-22T00:00:00"/>
        <d v="2021-06-01T00:00:00"/>
        <d v="2021-08-05T00:00:00"/>
        <d v="2021-05-13T00:00:00"/>
        <d v="2022-05-07T00:00:00"/>
        <d v="2021-07-07T00:00:00"/>
        <d v="2022-01-25T00:00:00"/>
        <d v="2021-04-20T00:00:00"/>
        <d v="2022-02-19T00:00:00"/>
        <d v="2021-05-08T00:00:00"/>
        <d v="2022-03-15T00:00:00"/>
        <d v="2022-11-16T00:00:00"/>
        <d v="2022-06-11T00:00:00"/>
        <d v="2021-12-25T00:00:00"/>
        <d v="2022-01-10T00:00:00"/>
        <d v="2022-01-15T00:00:00"/>
        <d v="2022-03-22T00:00:00"/>
        <d v="2022-10-23T00:00:00"/>
        <d v="2022-09-28T00:00:00"/>
        <d v="2022-06-02T00:00:00"/>
        <d v="2023-02-12T00:00:00"/>
        <d v="2023-02-11T00:00:00"/>
        <d v="2022-10-17T00:00:00"/>
        <d v="2022-01-08T00:00:00"/>
        <d v="2021-10-27T00:00:00"/>
        <d v="2021-02-21T00:00:00"/>
        <d v="2021-12-01T00:00:00"/>
        <d v="2022-07-03T00:00:00"/>
        <d v="2022-08-23T00:00:00"/>
        <d v="2022-11-07T00:00:00"/>
        <d v="2021-09-27T00:00:00"/>
        <d v="2022-01-28T00:00:00"/>
        <d v="2022-01-12T00:00:00"/>
        <d v="2021-04-01T00:00:00"/>
        <d v="2022-12-03T00:00:00"/>
        <d v="2022-02-05T00:00:00"/>
        <d v="2021-07-31T00:00:00"/>
        <d v="2022-03-30T00:00:00"/>
        <d v="2022-05-31T00:00:00"/>
        <d v="2022-01-02T00:00:00"/>
        <d v="2022-09-01T00:00:00"/>
        <d v="2021-04-04T00:00:00"/>
        <d v="2022-08-05T00:00:00"/>
        <d v="2021-09-20T00:00:00"/>
        <d v="2021-01-29T00:00:00"/>
        <d v="2022-08-30T00:00:00"/>
        <d v="2022-04-28T00:00:00"/>
        <d v="2022-11-23T00:00:00"/>
        <d v="2021-07-24T00:00:00"/>
        <d v="2022-09-07T00:00:00"/>
        <d v="2022-06-12T00:00:00"/>
        <d v="2021-01-12T00:00:00"/>
        <d v="2021-06-30T00:00:00"/>
        <d v="2022-07-08T00:00:00"/>
        <d v="2021-07-03T00:00:00"/>
        <d v="2022-12-18T00:00:00"/>
        <d v="2022-09-25T00:00:00"/>
        <d v="2021-03-23T00:00:00"/>
        <d v="2021-01-24T00:00:00"/>
        <d v="2022-10-02T00:00:00"/>
        <d v="2021-07-25T00:00:00"/>
        <d v="2023-01-01T00:00:00"/>
        <d v="2021-05-21T00:00:00"/>
        <d v="2022-09-15T00:00:00"/>
        <d v="2022-05-25T00:00:00"/>
        <d v="2021-09-13T00:00:00"/>
        <d v="2022-05-16T00:00:00"/>
        <d v="2021-10-09T00:00:00"/>
        <d v="2022-10-16T00:00:00"/>
        <d v="2021-08-15T00:00:00"/>
        <d v="2022-01-16T00:00:00"/>
        <d v="2022-03-01T00:00:00"/>
        <d v="2022-11-30T00:00:00"/>
        <d v="2021-02-20T00:00:00"/>
        <d v="2021-06-20T00:00:00"/>
        <d v="2021-09-14T00:00:00"/>
        <d v="2022-02-23T00:00:00"/>
        <d v="2022-09-16T00:00:00"/>
        <d v="2022-11-24T00:00:00"/>
        <d v="2022-10-27T00:00:00"/>
        <d v="2021-05-28T00:00:00"/>
        <d v="2021-01-02T00:00:00"/>
        <d v="2023-02-01T00:00:00"/>
        <d v="2021-10-14T00:00:00"/>
        <d v="2021-11-21T00:00:00"/>
        <d v="2022-01-03T00:00:00"/>
        <d v="2022-05-26T00:00:00"/>
        <d v="2022-11-15T00:00:00"/>
        <d v="2021-04-24T00:00:00"/>
        <d v="2022-07-09T00:00:00"/>
        <d v="2023-01-08T00:00:00"/>
        <d v="2022-08-09T00:00:00"/>
        <d v="2021-03-19T00:00:00"/>
        <d v="2022-08-19T00:00:00"/>
        <d v="2021-11-01T00:00:00"/>
        <d v="2023-02-05T00:00:00"/>
        <d v="2022-07-20T00:00:00"/>
        <d v="2022-10-26T00:00:00"/>
        <d v="2022-11-12T00:00:00"/>
        <d v="2021-05-27T00:00:00"/>
        <d v="2023-03-05T00:00:00"/>
        <d v="2023-02-27T00:00:00"/>
        <d v="2022-11-25T00:00:00"/>
        <d v="2022-09-03T00:00:00"/>
        <d v="2021-10-08T00:00:00"/>
        <d v="2022-07-07T00:00:00"/>
        <d v="2022-08-03T00:00:00"/>
        <d v="2022-09-21T00:00:00"/>
        <d v="2023-01-13T00:00:00"/>
        <d v="2021-02-06T00:00:00"/>
        <d v="2022-11-02T00:00:00"/>
        <d v="2022-10-30T00:00:00"/>
        <d v="2021-03-01T00:00:00"/>
        <d v="2021-10-12T00:00:00"/>
        <d v="2021-08-17T00:00:00"/>
        <d v="2022-02-04T00:00:00"/>
        <d v="2021-08-02T00:00:00"/>
        <d v="2021-10-21T00:00:00"/>
        <d v="2021-09-17T00:00:00"/>
        <d v="2021-03-21T00:00:00"/>
        <d v="2022-12-09T00:00:00"/>
        <d v="2022-04-04T00:00:00"/>
        <d v="2022-07-27T00:00:00"/>
        <d v="2022-02-15T00:00:00"/>
      </sharedItems>
    </cacheField>
    <cacheField name="shopping_mall" numFmtId="0">
      <sharedItems count="10">
        <s v="Emaar Square Mall"/>
        <s v="Viaport Outlet"/>
        <s v="Mall of Istanbul"/>
        <s v="Metrocity"/>
        <s v="Zorlu Center"/>
        <s v="Kanyon"/>
        <s v="Forum Istanbul"/>
        <s v="Metropol AVM"/>
        <s v="Cevahir AVM"/>
        <s v="Istinye Park"/>
      </sharedItems>
    </cacheField>
    <cacheField name="Revenue" numFmtId="0" formula="quantity*price" databaseField="0"/>
  </cacheFields>
  <extLst>
    <ext xmlns:x14="http://schemas.microsoft.com/office/spreadsheetml/2009/9/main" uri="{725AE2AE-9491-48be-B2B4-4EB974FC3084}">
      <x14:pivotCacheDefinition pivotCacheId="262984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shti sharma" refreshedDate="46029.655835879632" createdVersion="8" refreshedVersion="8" minRefreshableVersion="3" recordCount="1001" xr:uid="{56E556FB-D52C-465A-9A47-94C81AAAF8D2}">
  <cacheSource type="worksheet">
    <worksheetSource ref="A1:K1048576" sheet="datamites database_Final"/>
  </cacheSource>
  <cacheFields count="12">
    <cacheField name="invoice_no" numFmtId="0">
      <sharedItems containsBlank="1"/>
    </cacheField>
    <cacheField name="customer_id" numFmtId="0">
      <sharedItems containsBlank="1"/>
    </cacheField>
    <cacheField name="gender" numFmtId="0">
      <sharedItems containsBlank="1" count="3">
        <s v="Male"/>
        <s v="Female"/>
        <m/>
      </sharedItems>
    </cacheField>
    <cacheField name="age" numFmtId="0">
      <sharedItems containsString="0" containsBlank="1" containsNumber="1" containsInteger="1" minValue="18" maxValue="69"/>
    </cacheField>
    <cacheField name="age group" numFmtId="0">
      <sharedItems containsBlank="1" count="6">
        <s v="60+"/>
        <s v="46-60"/>
        <s v="26-35"/>
        <s v="18-25"/>
        <s v="36-45"/>
        <m/>
      </sharedItems>
    </cacheField>
    <cacheField name="category" numFmtId="0">
      <sharedItems containsBlank="1" count="9">
        <s v="Clothing"/>
        <s v="Cosmetics"/>
        <s v="Books"/>
        <s v="Technology"/>
        <s v="Food &amp; Beverage"/>
        <s v="Shoes"/>
        <s v="Souvenir"/>
        <s v="Toys"/>
        <m/>
      </sharedItems>
    </cacheField>
    <cacheField name="quantity" numFmtId="0">
      <sharedItems containsString="0" containsBlank="1" containsNumber="1" containsInteger="1" minValue="1" maxValue="5"/>
    </cacheField>
    <cacheField name="price" numFmtId="0">
      <sharedItems containsString="0" containsBlank="1" containsNumber="1" minValue="5.23" maxValue="5250"/>
    </cacheField>
    <cacheField name="payment_method" numFmtId="0">
      <sharedItems containsBlank="1"/>
    </cacheField>
    <cacheField name="invoice_date" numFmtId="0">
      <sharedItems containsNonDate="0" containsDate="1" containsString="0" containsBlank="1" minDate="2021-01-01T00:00:00" maxDate="2023-03-07T00:00:00"/>
    </cacheField>
    <cacheField name="shopping_mall" numFmtId="0">
      <sharedItems containsBlank="1" count="11">
        <s v="Emaar Square Mall"/>
        <s v="Viaport Outlet"/>
        <s v="Mall of Istanbul"/>
        <s v="Metrocity"/>
        <s v="Zorlu Center"/>
        <s v="Kanyon"/>
        <s v="Forum Istanbul"/>
        <s v="Metropol AVM"/>
        <s v="Cevahir AVM"/>
        <s v="Istinye Park"/>
        <m/>
      </sharedItems>
    </cacheField>
    <cacheField name="revenue" numFmtId="0" formula="quantity *price" databaseField="0"/>
  </cacheFields>
  <extLst>
    <ext xmlns:x14="http://schemas.microsoft.com/office/spreadsheetml/2009/9/main" uri="{725AE2AE-9491-48be-B2B4-4EB974FC3084}">
      <x14:pivotCacheDefinition pivotCacheId="865580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I100008"/>
    <s v="C199951"/>
    <x v="0"/>
    <x v="0"/>
    <x v="0"/>
    <n v="5"/>
    <x v="0"/>
    <x v="0"/>
    <x v="0"/>
    <x v="0"/>
  </r>
  <r>
    <s v="I100014"/>
    <s v="C138893"/>
    <x v="0"/>
    <x v="1"/>
    <x v="1"/>
    <n v="5"/>
    <x v="1"/>
    <x v="0"/>
    <x v="1"/>
    <x v="1"/>
  </r>
  <r>
    <s v="I100015"/>
    <s v="C132779"/>
    <x v="1"/>
    <x v="2"/>
    <x v="0"/>
    <n v="2"/>
    <x v="2"/>
    <x v="1"/>
    <x v="2"/>
    <x v="2"/>
  </r>
  <r>
    <s v="I100024"/>
    <s v="C244411"/>
    <x v="1"/>
    <x v="3"/>
    <x v="2"/>
    <n v="3"/>
    <x v="3"/>
    <x v="2"/>
    <x v="3"/>
    <x v="0"/>
  </r>
  <r>
    <s v="I100027"/>
    <s v="C150002"/>
    <x v="1"/>
    <x v="4"/>
    <x v="3"/>
    <n v="4"/>
    <x v="4"/>
    <x v="0"/>
    <x v="4"/>
    <x v="2"/>
  </r>
  <r>
    <s v="I100028"/>
    <s v="C325553"/>
    <x v="1"/>
    <x v="5"/>
    <x v="0"/>
    <n v="1"/>
    <x v="5"/>
    <x v="2"/>
    <x v="5"/>
    <x v="3"/>
  </r>
  <r>
    <s v="I100031"/>
    <s v="C378408"/>
    <x v="0"/>
    <x v="5"/>
    <x v="4"/>
    <n v="3"/>
    <x v="6"/>
    <x v="2"/>
    <x v="6"/>
    <x v="0"/>
  </r>
  <r>
    <s v="I100033"/>
    <s v="C278721"/>
    <x v="0"/>
    <x v="6"/>
    <x v="4"/>
    <n v="4"/>
    <x v="7"/>
    <x v="2"/>
    <x v="7"/>
    <x v="4"/>
  </r>
  <r>
    <s v="I100037"/>
    <s v="C122873"/>
    <x v="1"/>
    <x v="7"/>
    <x v="0"/>
    <n v="1"/>
    <x v="5"/>
    <x v="1"/>
    <x v="8"/>
    <x v="5"/>
  </r>
  <r>
    <s v="I100041"/>
    <s v="C326923"/>
    <x v="1"/>
    <x v="8"/>
    <x v="1"/>
    <n v="3"/>
    <x v="8"/>
    <x v="0"/>
    <x v="9"/>
    <x v="2"/>
  </r>
  <r>
    <s v="I100049"/>
    <s v="C297871"/>
    <x v="0"/>
    <x v="9"/>
    <x v="5"/>
    <n v="1"/>
    <x v="9"/>
    <x v="1"/>
    <x v="10"/>
    <x v="2"/>
  </r>
  <r>
    <s v="I100053"/>
    <s v="C217294"/>
    <x v="1"/>
    <x v="10"/>
    <x v="1"/>
    <n v="3"/>
    <x v="8"/>
    <x v="2"/>
    <x v="11"/>
    <x v="3"/>
  </r>
  <r>
    <s v="I100057"/>
    <s v="C225062"/>
    <x v="1"/>
    <x v="11"/>
    <x v="0"/>
    <n v="2"/>
    <x v="2"/>
    <x v="2"/>
    <x v="12"/>
    <x v="6"/>
  </r>
  <r>
    <s v="I100059"/>
    <s v="C292544"/>
    <x v="1"/>
    <x v="12"/>
    <x v="6"/>
    <n v="3"/>
    <x v="10"/>
    <x v="1"/>
    <x v="13"/>
    <x v="3"/>
  </r>
  <r>
    <s v="I100068"/>
    <s v="C647308"/>
    <x v="1"/>
    <x v="12"/>
    <x v="7"/>
    <n v="2"/>
    <x v="11"/>
    <x v="2"/>
    <x v="14"/>
    <x v="7"/>
  </r>
  <r>
    <s v="I100071"/>
    <s v="C522050"/>
    <x v="1"/>
    <x v="13"/>
    <x v="0"/>
    <n v="3"/>
    <x v="12"/>
    <x v="0"/>
    <x v="15"/>
    <x v="2"/>
  </r>
  <r>
    <s v="I100072"/>
    <s v="C143773"/>
    <x v="0"/>
    <x v="14"/>
    <x v="3"/>
    <n v="5"/>
    <x v="13"/>
    <x v="1"/>
    <x v="16"/>
    <x v="7"/>
  </r>
  <r>
    <s v="I100077"/>
    <s v="C356550"/>
    <x v="0"/>
    <x v="15"/>
    <x v="4"/>
    <n v="1"/>
    <x v="14"/>
    <x v="2"/>
    <x v="17"/>
    <x v="0"/>
  </r>
  <r>
    <s v="I100078"/>
    <s v="C272831"/>
    <x v="0"/>
    <x v="15"/>
    <x v="2"/>
    <n v="5"/>
    <x v="15"/>
    <x v="2"/>
    <x v="18"/>
    <x v="2"/>
  </r>
  <r>
    <s v="I100080"/>
    <s v="C696236"/>
    <x v="0"/>
    <x v="1"/>
    <x v="7"/>
    <n v="4"/>
    <x v="16"/>
    <x v="2"/>
    <x v="19"/>
    <x v="7"/>
  </r>
  <r>
    <s v="I100082"/>
    <s v="C357288"/>
    <x v="1"/>
    <x v="16"/>
    <x v="6"/>
    <n v="2"/>
    <x v="17"/>
    <x v="0"/>
    <x v="20"/>
    <x v="8"/>
  </r>
  <r>
    <s v="I100084"/>
    <s v="C226369"/>
    <x v="1"/>
    <x v="17"/>
    <x v="5"/>
    <n v="2"/>
    <x v="18"/>
    <x v="2"/>
    <x v="21"/>
    <x v="5"/>
  </r>
  <r>
    <s v="I100089"/>
    <s v="C123196"/>
    <x v="1"/>
    <x v="7"/>
    <x v="0"/>
    <n v="5"/>
    <x v="0"/>
    <x v="0"/>
    <x v="22"/>
    <x v="0"/>
  </r>
  <r>
    <s v="I100090"/>
    <s v="C801451"/>
    <x v="1"/>
    <x v="18"/>
    <x v="5"/>
    <n v="4"/>
    <x v="19"/>
    <x v="2"/>
    <x v="23"/>
    <x v="3"/>
  </r>
  <r>
    <s v="I100094"/>
    <s v="C246470"/>
    <x v="1"/>
    <x v="17"/>
    <x v="7"/>
    <n v="2"/>
    <x v="11"/>
    <x v="0"/>
    <x v="24"/>
    <x v="7"/>
  </r>
  <r>
    <s v="I100095"/>
    <s v="C608046"/>
    <x v="0"/>
    <x v="19"/>
    <x v="0"/>
    <n v="2"/>
    <x v="2"/>
    <x v="0"/>
    <x v="25"/>
    <x v="9"/>
  </r>
  <r>
    <s v="I100097"/>
    <s v="C673123"/>
    <x v="1"/>
    <x v="7"/>
    <x v="4"/>
    <n v="4"/>
    <x v="7"/>
    <x v="2"/>
    <x v="26"/>
    <x v="2"/>
  </r>
  <r>
    <s v="I100098"/>
    <s v="C228071"/>
    <x v="0"/>
    <x v="20"/>
    <x v="0"/>
    <n v="5"/>
    <x v="0"/>
    <x v="0"/>
    <x v="27"/>
    <x v="8"/>
  </r>
  <r>
    <s v="I100105"/>
    <s v="C246820"/>
    <x v="0"/>
    <x v="9"/>
    <x v="4"/>
    <n v="4"/>
    <x v="7"/>
    <x v="1"/>
    <x v="28"/>
    <x v="5"/>
  </r>
  <r>
    <s v="I100106"/>
    <s v="C850385"/>
    <x v="0"/>
    <x v="21"/>
    <x v="4"/>
    <n v="2"/>
    <x v="20"/>
    <x v="2"/>
    <x v="29"/>
    <x v="7"/>
  </r>
  <r>
    <s v="I100108"/>
    <s v="C331773"/>
    <x v="1"/>
    <x v="22"/>
    <x v="2"/>
    <n v="4"/>
    <x v="21"/>
    <x v="2"/>
    <x v="30"/>
    <x v="8"/>
  </r>
  <r>
    <s v="I100111"/>
    <s v="C314731"/>
    <x v="1"/>
    <x v="15"/>
    <x v="0"/>
    <n v="3"/>
    <x v="12"/>
    <x v="1"/>
    <x v="31"/>
    <x v="3"/>
  </r>
  <r>
    <s v="I100113"/>
    <s v="C136435"/>
    <x v="0"/>
    <x v="23"/>
    <x v="0"/>
    <n v="1"/>
    <x v="5"/>
    <x v="2"/>
    <x v="32"/>
    <x v="4"/>
  </r>
  <r>
    <s v="I100116"/>
    <s v="C235320"/>
    <x v="1"/>
    <x v="19"/>
    <x v="1"/>
    <n v="3"/>
    <x v="8"/>
    <x v="0"/>
    <x v="33"/>
    <x v="7"/>
  </r>
  <r>
    <s v="I100126"/>
    <s v="C103405"/>
    <x v="0"/>
    <x v="24"/>
    <x v="0"/>
    <n v="3"/>
    <x v="12"/>
    <x v="2"/>
    <x v="34"/>
    <x v="0"/>
  </r>
  <r>
    <s v="I100127"/>
    <s v="C708853"/>
    <x v="0"/>
    <x v="25"/>
    <x v="0"/>
    <n v="2"/>
    <x v="2"/>
    <x v="1"/>
    <x v="27"/>
    <x v="8"/>
  </r>
  <r>
    <s v="I100128"/>
    <s v="C168282"/>
    <x v="1"/>
    <x v="26"/>
    <x v="0"/>
    <n v="3"/>
    <x v="12"/>
    <x v="2"/>
    <x v="35"/>
    <x v="9"/>
  </r>
  <r>
    <s v="I100137"/>
    <s v="C233463"/>
    <x v="0"/>
    <x v="2"/>
    <x v="5"/>
    <n v="5"/>
    <x v="22"/>
    <x v="0"/>
    <x v="36"/>
    <x v="2"/>
  </r>
  <r>
    <s v="I100138"/>
    <s v="C237364"/>
    <x v="0"/>
    <x v="12"/>
    <x v="0"/>
    <n v="2"/>
    <x v="2"/>
    <x v="0"/>
    <x v="5"/>
    <x v="2"/>
  </r>
  <r>
    <s v="I100142"/>
    <s v="C161659"/>
    <x v="0"/>
    <x v="27"/>
    <x v="0"/>
    <n v="4"/>
    <x v="23"/>
    <x v="1"/>
    <x v="37"/>
    <x v="7"/>
  </r>
  <r>
    <s v="I100145"/>
    <s v="C153189"/>
    <x v="1"/>
    <x v="28"/>
    <x v="0"/>
    <n v="5"/>
    <x v="0"/>
    <x v="1"/>
    <x v="38"/>
    <x v="5"/>
  </r>
  <r>
    <s v="I100146"/>
    <s v="C320745"/>
    <x v="1"/>
    <x v="29"/>
    <x v="5"/>
    <n v="4"/>
    <x v="19"/>
    <x v="2"/>
    <x v="39"/>
    <x v="0"/>
  </r>
  <r>
    <s v="I100148"/>
    <s v="C200488"/>
    <x v="0"/>
    <x v="12"/>
    <x v="5"/>
    <n v="4"/>
    <x v="19"/>
    <x v="0"/>
    <x v="40"/>
    <x v="4"/>
  </r>
  <r>
    <s v="I100149"/>
    <s v="C193896"/>
    <x v="1"/>
    <x v="0"/>
    <x v="4"/>
    <n v="5"/>
    <x v="24"/>
    <x v="0"/>
    <x v="41"/>
    <x v="2"/>
  </r>
  <r>
    <s v="I100151"/>
    <s v="C315218"/>
    <x v="0"/>
    <x v="30"/>
    <x v="0"/>
    <n v="2"/>
    <x v="2"/>
    <x v="0"/>
    <x v="42"/>
    <x v="5"/>
  </r>
  <r>
    <s v="I100152"/>
    <s v="C265676"/>
    <x v="1"/>
    <x v="31"/>
    <x v="5"/>
    <n v="5"/>
    <x v="22"/>
    <x v="2"/>
    <x v="43"/>
    <x v="2"/>
  </r>
  <r>
    <s v="I100155"/>
    <s v="C312476"/>
    <x v="1"/>
    <x v="13"/>
    <x v="4"/>
    <n v="4"/>
    <x v="7"/>
    <x v="2"/>
    <x v="44"/>
    <x v="7"/>
  </r>
  <r>
    <s v="I100156"/>
    <s v="C462935"/>
    <x v="1"/>
    <x v="30"/>
    <x v="2"/>
    <n v="3"/>
    <x v="3"/>
    <x v="2"/>
    <x v="45"/>
    <x v="7"/>
  </r>
  <r>
    <s v="I100161"/>
    <s v="C262871"/>
    <x v="1"/>
    <x v="13"/>
    <x v="0"/>
    <n v="1"/>
    <x v="5"/>
    <x v="0"/>
    <x v="46"/>
    <x v="5"/>
  </r>
  <r>
    <s v="I100168"/>
    <s v="C135319"/>
    <x v="0"/>
    <x v="31"/>
    <x v="5"/>
    <n v="4"/>
    <x v="19"/>
    <x v="0"/>
    <x v="47"/>
    <x v="4"/>
  </r>
  <r>
    <s v="I100173"/>
    <s v="C190374"/>
    <x v="1"/>
    <x v="30"/>
    <x v="4"/>
    <n v="1"/>
    <x v="14"/>
    <x v="0"/>
    <x v="48"/>
    <x v="7"/>
  </r>
  <r>
    <s v="I100174"/>
    <s v="C286570"/>
    <x v="1"/>
    <x v="21"/>
    <x v="0"/>
    <n v="1"/>
    <x v="5"/>
    <x v="0"/>
    <x v="49"/>
    <x v="2"/>
  </r>
  <r>
    <s v="I100181"/>
    <s v="C123341"/>
    <x v="1"/>
    <x v="32"/>
    <x v="0"/>
    <n v="5"/>
    <x v="0"/>
    <x v="0"/>
    <x v="50"/>
    <x v="3"/>
  </r>
  <r>
    <s v="I100184"/>
    <s v="C131276"/>
    <x v="1"/>
    <x v="33"/>
    <x v="1"/>
    <n v="2"/>
    <x v="25"/>
    <x v="0"/>
    <x v="51"/>
    <x v="5"/>
  </r>
  <r>
    <s v="I100186"/>
    <s v="C222236"/>
    <x v="0"/>
    <x v="34"/>
    <x v="0"/>
    <n v="1"/>
    <x v="5"/>
    <x v="1"/>
    <x v="52"/>
    <x v="4"/>
  </r>
  <r>
    <s v="I100187"/>
    <s v="C178869"/>
    <x v="1"/>
    <x v="35"/>
    <x v="4"/>
    <n v="1"/>
    <x v="14"/>
    <x v="2"/>
    <x v="53"/>
    <x v="3"/>
  </r>
  <r>
    <s v="I100192"/>
    <s v="C161234"/>
    <x v="0"/>
    <x v="36"/>
    <x v="0"/>
    <n v="1"/>
    <x v="5"/>
    <x v="1"/>
    <x v="41"/>
    <x v="2"/>
  </r>
  <r>
    <s v="I100193"/>
    <s v="C149918"/>
    <x v="0"/>
    <x v="37"/>
    <x v="0"/>
    <n v="1"/>
    <x v="5"/>
    <x v="1"/>
    <x v="54"/>
    <x v="9"/>
  </r>
  <r>
    <s v="I100195"/>
    <s v="C322199"/>
    <x v="1"/>
    <x v="37"/>
    <x v="4"/>
    <n v="5"/>
    <x v="24"/>
    <x v="1"/>
    <x v="55"/>
    <x v="2"/>
  </r>
  <r>
    <s v="I100198"/>
    <s v="C136883"/>
    <x v="1"/>
    <x v="38"/>
    <x v="1"/>
    <n v="5"/>
    <x v="1"/>
    <x v="2"/>
    <x v="56"/>
    <x v="8"/>
  </r>
  <r>
    <s v="I100199"/>
    <s v="C275614"/>
    <x v="1"/>
    <x v="24"/>
    <x v="2"/>
    <n v="5"/>
    <x v="15"/>
    <x v="0"/>
    <x v="57"/>
    <x v="9"/>
  </r>
  <r>
    <s v="I100200"/>
    <s v="C948033"/>
    <x v="0"/>
    <x v="29"/>
    <x v="7"/>
    <n v="4"/>
    <x v="16"/>
    <x v="0"/>
    <x v="53"/>
    <x v="3"/>
  </r>
  <r>
    <s v="I100201"/>
    <s v="C982027"/>
    <x v="0"/>
    <x v="36"/>
    <x v="6"/>
    <n v="5"/>
    <x v="26"/>
    <x v="0"/>
    <x v="58"/>
    <x v="9"/>
  </r>
  <r>
    <s v="I100202"/>
    <s v="C182496"/>
    <x v="0"/>
    <x v="22"/>
    <x v="4"/>
    <n v="4"/>
    <x v="7"/>
    <x v="2"/>
    <x v="59"/>
    <x v="5"/>
  </r>
  <r>
    <s v="I100205"/>
    <s v="C220151"/>
    <x v="0"/>
    <x v="33"/>
    <x v="0"/>
    <n v="5"/>
    <x v="0"/>
    <x v="2"/>
    <x v="60"/>
    <x v="9"/>
  </r>
  <r>
    <s v="I100207"/>
    <s v="C452901"/>
    <x v="0"/>
    <x v="39"/>
    <x v="0"/>
    <n v="4"/>
    <x v="23"/>
    <x v="2"/>
    <x v="61"/>
    <x v="3"/>
  </r>
  <r>
    <s v="I100211"/>
    <s v="C239527"/>
    <x v="1"/>
    <x v="40"/>
    <x v="0"/>
    <n v="2"/>
    <x v="2"/>
    <x v="1"/>
    <x v="62"/>
    <x v="3"/>
  </r>
  <r>
    <s v="I100212"/>
    <s v="C282695"/>
    <x v="1"/>
    <x v="19"/>
    <x v="6"/>
    <n v="3"/>
    <x v="10"/>
    <x v="2"/>
    <x v="63"/>
    <x v="5"/>
  </r>
  <r>
    <s v="I100214"/>
    <s v="C989972"/>
    <x v="1"/>
    <x v="41"/>
    <x v="0"/>
    <n v="3"/>
    <x v="12"/>
    <x v="0"/>
    <x v="64"/>
    <x v="9"/>
  </r>
  <r>
    <s v="I100215"/>
    <s v="C198589"/>
    <x v="0"/>
    <x v="18"/>
    <x v="5"/>
    <n v="3"/>
    <x v="27"/>
    <x v="1"/>
    <x v="65"/>
    <x v="2"/>
  </r>
  <r>
    <s v="I100216"/>
    <s v="C145243"/>
    <x v="0"/>
    <x v="18"/>
    <x v="1"/>
    <n v="1"/>
    <x v="28"/>
    <x v="0"/>
    <x v="66"/>
    <x v="2"/>
  </r>
  <r>
    <s v="I100218"/>
    <s v="C205490"/>
    <x v="0"/>
    <x v="27"/>
    <x v="4"/>
    <n v="1"/>
    <x v="14"/>
    <x v="0"/>
    <x v="67"/>
    <x v="5"/>
  </r>
  <r>
    <s v="I100220"/>
    <s v="C122251"/>
    <x v="0"/>
    <x v="11"/>
    <x v="0"/>
    <n v="5"/>
    <x v="0"/>
    <x v="0"/>
    <x v="68"/>
    <x v="2"/>
  </r>
  <r>
    <s v="I100223"/>
    <s v="C212702"/>
    <x v="1"/>
    <x v="22"/>
    <x v="5"/>
    <n v="5"/>
    <x v="22"/>
    <x v="2"/>
    <x v="69"/>
    <x v="3"/>
  </r>
  <r>
    <s v="I100225"/>
    <s v="C128382"/>
    <x v="0"/>
    <x v="16"/>
    <x v="1"/>
    <n v="3"/>
    <x v="8"/>
    <x v="2"/>
    <x v="70"/>
    <x v="9"/>
  </r>
  <r>
    <s v="I100227"/>
    <s v="C364271"/>
    <x v="1"/>
    <x v="3"/>
    <x v="7"/>
    <n v="3"/>
    <x v="29"/>
    <x v="0"/>
    <x v="71"/>
    <x v="3"/>
  </r>
  <r>
    <s v="I100228"/>
    <s v="C248381"/>
    <x v="0"/>
    <x v="41"/>
    <x v="0"/>
    <n v="2"/>
    <x v="2"/>
    <x v="0"/>
    <x v="72"/>
    <x v="2"/>
  </r>
  <r>
    <s v="I100229"/>
    <s v="C397160"/>
    <x v="0"/>
    <x v="18"/>
    <x v="1"/>
    <n v="4"/>
    <x v="30"/>
    <x v="1"/>
    <x v="73"/>
    <x v="2"/>
  </r>
  <r>
    <s v="I100231"/>
    <s v="C274640"/>
    <x v="1"/>
    <x v="3"/>
    <x v="3"/>
    <n v="1"/>
    <x v="31"/>
    <x v="1"/>
    <x v="74"/>
    <x v="7"/>
  </r>
  <r>
    <s v="I100240"/>
    <s v="C240922"/>
    <x v="1"/>
    <x v="39"/>
    <x v="1"/>
    <n v="3"/>
    <x v="8"/>
    <x v="2"/>
    <x v="75"/>
    <x v="8"/>
  </r>
  <r>
    <s v="I100243"/>
    <s v="C332855"/>
    <x v="1"/>
    <x v="41"/>
    <x v="0"/>
    <n v="1"/>
    <x v="5"/>
    <x v="0"/>
    <x v="76"/>
    <x v="5"/>
  </r>
  <r>
    <s v="I100249"/>
    <s v="C209647"/>
    <x v="0"/>
    <x v="42"/>
    <x v="0"/>
    <n v="5"/>
    <x v="0"/>
    <x v="2"/>
    <x v="77"/>
    <x v="5"/>
  </r>
  <r>
    <s v="I100251"/>
    <s v="C228482"/>
    <x v="1"/>
    <x v="21"/>
    <x v="6"/>
    <n v="4"/>
    <x v="32"/>
    <x v="0"/>
    <x v="78"/>
    <x v="7"/>
  </r>
  <r>
    <s v="I100261"/>
    <s v="C315632"/>
    <x v="1"/>
    <x v="35"/>
    <x v="1"/>
    <n v="2"/>
    <x v="25"/>
    <x v="2"/>
    <x v="79"/>
    <x v="2"/>
  </r>
  <r>
    <s v="I100267"/>
    <s v="C299948"/>
    <x v="1"/>
    <x v="36"/>
    <x v="1"/>
    <n v="4"/>
    <x v="30"/>
    <x v="1"/>
    <x v="80"/>
    <x v="5"/>
  </r>
  <r>
    <s v="I100271"/>
    <s v="C892772"/>
    <x v="0"/>
    <x v="27"/>
    <x v="7"/>
    <n v="4"/>
    <x v="16"/>
    <x v="1"/>
    <x v="81"/>
    <x v="3"/>
  </r>
  <r>
    <s v="I100273"/>
    <s v="C291963"/>
    <x v="1"/>
    <x v="3"/>
    <x v="7"/>
    <n v="5"/>
    <x v="33"/>
    <x v="0"/>
    <x v="82"/>
    <x v="8"/>
  </r>
  <r>
    <s v="I100281"/>
    <s v="C711548"/>
    <x v="0"/>
    <x v="9"/>
    <x v="7"/>
    <n v="1"/>
    <x v="34"/>
    <x v="1"/>
    <x v="83"/>
    <x v="5"/>
  </r>
  <r>
    <s v="I100282"/>
    <s v="C836957"/>
    <x v="0"/>
    <x v="22"/>
    <x v="0"/>
    <n v="3"/>
    <x v="12"/>
    <x v="0"/>
    <x v="84"/>
    <x v="1"/>
  </r>
  <r>
    <s v="I100284"/>
    <s v="C174674"/>
    <x v="1"/>
    <x v="43"/>
    <x v="0"/>
    <n v="2"/>
    <x v="2"/>
    <x v="2"/>
    <x v="85"/>
    <x v="5"/>
  </r>
  <r>
    <s v="I100288"/>
    <s v="C435081"/>
    <x v="1"/>
    <x v="32"/>
    <x v="4"/>
    <n v="3"/>
    <x v="6"/>
    <x v="2"/>
    <x v="86"/>
    <x v="5"/>
  </r>
  <r>
    <s v="I100290"/>
    <s v="C118172"/>
    <x v="0"/>
    <x v="22"/>
    <x v="1"/>
    <n v="3"/>
    <x v="8"/>
    <x v="2"/>
    <x v="87"/>
    <x v="2"/>
  </r>
  <r>
    <s v="I100291"/>
    <s v="C832260"/>
    <x v="0"/>
    <x v="5"/>
    <x v="0"/>
    <n v="5"/>
    <x v="0"/>
    <x v="1"/>
    <x v="88"/>
    <x v="9"/>
  </r>
  <r>
    <s v="I100292"/>
    <s v="C721616"/>
    <x v="1"/>
    <x v="10"/>
    <x v="0"/>
    <n v="2"/>
    <x v="2"/>
    <x v="0"/>
    <x v="89"/>
    <x v="2"/>
  </r>
  <r>
    <s v="I100293"/>
    <s v="C991830"/>
    <x v="1"/>
    <x v="44"/>
    <x v="4"/>
    <n v="3"/>
    <x v="6"/>
    <x v="0"/>
    <x v="90"/>
    <x v="5"/>
  </r>
  <r>
    <s v="I100294"/>
    <s v="C277127"/>
    <x v="0"/>
    <x v="12"/>
    <x v="4"/>
    <n v="3"/>
    <x v="6"/>
    <x v="0"/>
    <x v="91"/>
    <x v="9"/>
  </r>
  <r>
    <s v="I100299"/>
    <s v="C179079"/>
    <x v="0"/>
    <x v="4"/>
    <x v="0"/>
    <n v="5"/>
    <x v="0"/>
    <x v="0"/>
    <x v="92"/>
    <x v="2"/>
  </r>
  <r>
    <s v="I100301"/>
    <s v="C553904"/>
    <x v="1"/>
    <x v="28"/>
    <x v="0"/>
    <n v="4"/>
    <x v="23"/>
    <x v="2"/>
    <x v="93"/>
    <x v="2"/>
  </r>
  <r>
    <s v="I100307"/>
    <s v="C887007"/>
    <x v="1"/>
    <x v="38"/>
    <x v="0"/>
    <n v="3"/>
    <x v="12"/>
    <x v="2"/>
    <x v="94"/>
    <x v="5"/>
  </r>
  <r>
    <s v="I100308"/>
    <s v="C104593"/>
    <x v="0"/>
    <x v="5"/>
    <x v="4"/>
    <n v="1"/>
    <x v="14"/>
    <x v="0"/>
    <x v="95"/>
    <x v="2"/>
  </r>
  <r>
    <s v="I100310"/>
    <s v="C183161"/>
    <x v="1"/>
    <x v="15"/>
    <x v="1"/>
    <n v="4"/>
    <x v="30"/>
    <x v="0"/>
    <x v="96"/>
    <x v="2"/>
  </r>
  <r>
    <s v="I100311"/>
    <s v="C115462"/>
    <x v="1"/>
    <x v="1"/>
    <x v="0"/>
    <n v="4"/>
    <x v="23"/>
    <x v="0"/>
    <x v="97"/>
    <x v="4"/>
  </r>
  <r>
    <s v="I100312"/>
    <s v="C280934"/>
    <x v="0"/>
    <x v="37"/>
    <x v="4"/>
    <n v="2"/>
    <x v="20"/>
    <x v="2"/>
    <x v="98"/>
    <x v="0"/>
  </r>
  <r>
    <s v="I100313"/>
    <s v="C144410"/>
    <x v="1"/>
    <x v="14"/>
    <x v="1"/>
    <n v="4"/>
    <x v="30"/>
    <x v="0"/>
    <x v="99"/>
    <x v="3"/>
  </r>
  <r>
    <s v="I100315"/>
    <s v="C242277"/>
    <x v="1"/>
    <x v="13"/>
    <x v="1"/>
    <n v="3"/>
    <x v="8"/>
    <x v="1"/>
    <x v="100"/>
    <x v="0"/>
  </r>
  <r>
    <s v="I100316"/>
    <s v="C248553"/>
    <x v="0"/>
    <x v="42"/>
    <x v="5"/>
    <n v="2"/>
    <x v="18"/>
    <x v="0"/>
    <x v="101"/>
    <x v="8"/>
  </r>
  <r>
    <s v="I100320"/>
    <s v="C152872"/>
    <x v="1"/>
    <x v="10"/>
    <x v="0"/>
    <n v="2"/>
    <x v="2"/>
    <x v="0"/>
    <x v="102"/>
    <x v="0"/>
  </r>
  <r>
    <s v="I100321"/>
    <s v="C113910"/>
    <x v="1"/>
    <x v="40"/>
    <x v="7"/>
    <n v="2"/>
    <x v="11"/>
    <x v="2"/>
    <x v="103"/>
    <x v="6"/>
  </r>
  <r>
    <s v="I100323"/>
    <s v="C107529"/>
    <x v="0"/>
    <x v="43"/>
    <x v="1"/>
    <n v="3"/>
    <x v="8"/>
    <x v="1"/>
    <x v="104"/>
    <x v="5"/>
  </r>
  <r>
    <s v="I100324"/>
    <s v="C288166"/>
    <x v="1"/>
    <x v="45"/>
    <x v="0"/>
    <n v="5"/>
    <x v="0"/>
    <x v="1"/>
    <x v="105"/>
    <x v="7"/>
  </r>
  <r>
    <s v="I100328"/>
    <s v="C152052"/>
    <x v="1"/>
    <x v="30"/>
    <x v="4"/>
    <n v="3"/>
    <x v="6"/>
    <x v="2"/>
    <x v="96"/>
    <x v="5"/>
  </r>
  <r>
    <s v="I100330"/>
    <s v="C453598"/>
    <x v="0"/>
    <x v="46"/>
    <x v="1"/>
    <n v="5"/>
    <x v="1"/>
    <x v="2"/>
    <x v="106"/>
    <x v="3"/>
  </r>
  <r>
    <s v="I100336"/>
    <s v="C202040"/>
    <x v="1"/>
    <x v="9"/>
    <x v="4"/>
    <n v="1"/>
    <x v="14"/>
    <x v="0"/>
    <x v="107"/>
    <x v="7"/>
  </r>
  <r>
    <s v="I100338"/>
    <s v="C779694"/>
    <x v="0"/>
    <x v="34"/>
    <x v="4"/>
    <n v="2"/>
    <x v="20"/>
    <x v="0"/>
    <x v="108"/>
    <x v="1"/>
  </r>
  <r>
    <s v="I100354"/>
    <s v="C135028"/>
    <x v="0"/>
    <x v="39"/>
    <x v="3"/>
    <n v="1"/>
    <x v="31"/>
    <x v="2"/>
    <x v="109"/>
    <x v="7"/>
  </r>
  <r>
    <s v="I100355"/>
    <s v="C189409"/>
    <x v="1"/>
    <x v="36"/>
    <x v="0"/>
    <n v="5"/>
    <x v="0"/>
    <x v="0"/>
    <x v="110"/>
    <x v="5"/>
  </r>
  <r>
    <s v="I100357"/>
    <s v="C494452"/>
    <x v="1"/>
    <x v="26"/>
    <x v="1"/>
    <n v="3"/>
    <x v="8"/>
    <x v="1"/>
    <x v="111"/>
    <x v="6"/>
  </r>
  <r>
    <s v="I100358"/>
    <s v="C339237"/>
    <x v="1"/>
    <x v="10"/>
    <x v="1"/>
    <n v="5"/>
    <x v="1"/>
    <x v="0"/>
    <x v="112"/>
    <x v="3"/>
  </r>
  <r>
    <s v="I100361"/>
    <s v="C224357"/>
    <x v="1"/>
    <x v="46"/>
    <x v="4"/>
    <n v="5"/>
    <x v="24"/>
    <x v="0"/>
    <x v="44"/>
    <x v="1"/>
  </r>
  <r>
    <s v="I100364"/>
    <s v="C231500"/>
    <x v="1"/>
    <x v="47"/>
    <x v="0"/>
    <n v="2"/>
    <x v="2"/>
    <x v="1"/>
    <x v="113"/>
    <x v="4"/>
  </r>
  <r>
    <s v="I100365"/>
    <s v="C624809"/>
    <x v="1"/>
    <x v="48"/>
    <x v="0"/>
    <n v="5"/>
    <x v="0"/>
    <x v="2"/>
    <x v="114"/>
    <x v="0"/>
  </r>
  <r>
    <s v="I100366"/>
    <s v="C296054"/>
    <x v="1"/>
    <x v="30"/>
    <x v="0"/>
    <n v="1"/>
    <x v="5"/>
    <x v="1"/>
    <x v="115"/>
    <x v="8"/>
  </r>
  <r>
    <s v="I100367"/>
    <s v="C268495"/>
    <x v="0"/>
    <x v="45"/>
    <x v="4"/>
    <n v="5"/>
    <x v="24"/>
    <x v="0"/>
    <x v="116"/>
    <x v="5"/>
  </r>
  <r>
    <s v="I100368"/>
    <s v="C168429"/>
    <x v="1"/>
    <x v="7"/>
    <x v="4"/>
    <n v="1"/>
    <x v="14"/>
    <x v="2"/>
    <x v="117"/>
    <x v="5"/>
  </r>
  <r>
    <s v="I100377"/>
    <s v="C272529"/>
    <x v="1"/>
    <x v="34"/>
    <x v="7"/>
    <n v="3"/>
    <x v="29"/>
    <x v="1"/>
    <x v="118"/>
    <x v="3"/>
  </r>
  <r>
    <s v="I100381"/>
    <s v="C243648"/>
    <x v="1"/>
    <x v="21"/>
    <x v="0"/>
    <n v="2"/>
    <x v="2"/>
    <x v="0"/>
    <x v="119"/>
    <x v="6"/>
  </r>
  <r>
    <s v="I100387"/>
    <s v="C234074"/>
    <x v="1"/>
    <x v="10"/>
    <x v="4"/>
    <n v="2"/>
    <x v="20"/>
    <x v="0"/>
    <x v="36"/>
    <x v="2"/>
  </r>
  <r>
    <s v="I100397"/>
    <s v="C262466"/>
    <x v="1"/>
    <x v="37"/>
    <x v="1"/>
    <n v="1"/>
    <x v="28"/>
    <x v="1"/>
    <x v="120"/>
    <x v="6"/>
  </r>
  <r>
    <s v="I100399"/>
    <s v="C250107"/>
    <x v="1"/>
    <x v="15"/>
    <x v="4"/>
    <n v="5"/>
    <x v="24"/>
    <x v="0"/>
    <x v="121"/>
    <x v="2"/>
  </r>
  <r>
    <s v="I100400"/>
    <s v="C271625"/>
    <x v="1"/>
    <x v="34"/>
    <x v="5"/>
    <n v="4"/>
    <x v="19"/>
    <x v="2"/>
    <x v="122"/>
    <x v="3"/>
  </r>
  <r>
    <s v="I100401"/>
    <s v="C291610"/>
    <x v="1"/>
    <x v="37"/>
    <x v="5"/>
    <n v="3"/>
    <x v="27"/>
    <x v="2"/>
    <x v="123"/>
    <x v="8"/>
  </r>
  <r>
    <s v="I100404"/>
    <s v="C116794"/>
    <x v="1"/>
    <x v="14"/>
    <x v="1"/>
    <n v="1"/>
    <x v="28"/>
    <x v="2"/>
    <x v="124"/>
    <x v="2"/>
  </r>
  <r>
    <s v="I100406"/>
    <s v="C146640"/>
    <x v="0"/>
    <x v="34"/>
    <x v="1"/>
    <n v="3"/>
    <x v="8"/>
    <x v="2"/>
    <x v="125"/>
    <x v="5"/>
  </r>
  <r>
    <s v="I100408"/>
    <s v="C128638"/>
    <x v="1"/>
    <x v="27"/>
    <x v="7"/>
    <n v="3"/>
    <x v="29"/>
    <x v="0"/>
    <x v="126"/>
    <x v="5"/>
  </r>
  <r>
    <s v="I100412"/>
    <s v="C313809"/>
    <x v="1"/>
    <x v="2"/>
    <x v="4"/>
    <n v="2"/>
    <x v="20"/>
    <x v="2"/>
    <x v="51"/>
    <x v="3"/>
  </r>
  <r>
    <s v="I100414"/>
    <s v="C233655"/>
    <x v="0"/>
    <x v="6"/>
    <x v="6"/>
    <n v="2"/>
    <x v="17"/>
    <x v="1"/>
    <x v="127"/>
    <x v="2"/>
  </r>
  <r>
    <s v="I100417"/>
    <s v="C310007"/>
    <x v="1"/>
    <x v="15"/>
    <x v="0"/>
    <n v="3"/>
    <x v="12"/>
    <x v="0"/>
    <x v="128"/>
    <x v="2"/>
  </r>
  <r>
    <s v="I100419"/>
    <s v="C937473"/>
    <x v="0"/>
    <x v="49"/>
    <x v="6"/>
    <n v="2"/>
    <x v="17"/>
    <x v="2"/>
    <x v="129"/>
    <x v="2"/>
  </r>
  <r>
    <s v="I100420"/>
    <s v="C261035"/>
    <x v="1"/>
    <x v="30"/>
    <x v="1"/>
    <n v="3"/>
    <x v="8"/>
    <x v="2"/>
    <x v="130"/>
    <x v="1"/>
  </r>
  <r>
    <s v="I100423"/>
    <s v="C664680"/>
    <x v="1"/>
    <x v="32"/>
    <x v="4"/>
    <n v="4"/>
    <x v="7"/>
    <x v="1"/>
    <x v="131"/>
    <x v="3"/>
  </r>
  <r>
    <s v="I100425"/>
    <s v="C386315"/>
    <x v="1"/>
    <x v="12"/>
    <x v="1"/>
    <n v="1"/>
    <x v="28"/>
    <x v="0"/>
    <x v="132"/>
    <x v="7"/>
  </r>
  <r>
    <s v="I100426"/>
    <s v="C133701"/>
    <x v="1"/>
    <x v="48"/>
    <x v="1"/>
    <n v="3"/>
    <x v="8"/>
    <x v="0"/>
    <x v="133"/>
    <x v="9"/>
  </r>
  <r>
    <s v="I100434"/>
    <s v="C295965"/>
    <x v="0"/>
    <x v="45"/>
    <x v="1"/>
    <n v="4"/>
    <x v="30"/>
    <x v="0"/>
    <x v="134"/>
    <x v="2"/>
  </r>
  <r>
    <s v="I100439"/>
    <s v="C224698"/>
    <x v="0"/>
    <x v="46"/>
    <x v="5"/>
    <n v="5"/>
    <x v="22"/>
    <x v="2"/>
    <x v="135"/>
    <x v="7"/>
  </r>
  <r>
    <s v="I100441"/>
    <s v="C202089"/>
    <x v="1"/>
    <x v="31"/>
    <x v="1"/>
    <n v="3"/>
    <x v="8"/>
    <x v="0"/>
    <x v="136"/>
    <x v="9"/>
  </r>
  <r>
    <s v="I100443"/>
    <s v="C826051"/>
    <x v="1"/>
    <x v="13"/>
    <x v="6"/>
    <n v="4"/>
    <x v="32"/>
    <x v="1"/>
    <x v="137"/>
    <x v="9"/>
  </r>
  <r>
    <s v="I100445"/>
    <s v="C307576"/>
    <x v="1"/>
    <x v="5"/>
    <x v="0"/>
    <n v="1"/>
    <x v="5"/>
    <x v="1"/>
    <x v="138"/>
    <x v="9"/>
  </r>
  <r>
    <s v="I100454"/>
    <s v="C851133"/>
    <x v="1"/>
    <x v="42"/>
    <x v="7"/>
    <n v="3"/>
    <x v="29"/>
    <x v="1"/>
    <x v="139"/>
    <x v="9"/>
  </r>
  <r>
    <s v="I100455"/>
    <s v="C191387"/>
    <x v="1"/>
    <x v="6"/>
    <x v="6"/>
    <n v="5"/>
    <x v="26"/>
    <x v="0"/>
    <x v="140"/>
    <x v="7"/>
  </r>
  <r>
    <s v="I100458"/>
    <s v="C150447"/>
    <x v="1"/>
    <x v="4"/>
    <x v="7"/>
    <n v="2"/>
    <x v="11"/>
    <x v="2"/>
    <x v="141"/>
    <x v="3"/>
  </r>
  <r>
    <s v="I100459"/>
    <s v="C194835"/>
    <x v="1"/>
    <x v="27"/>
    <x v="0"/>
    <n v="3"/>
    <x v="12"/>
    <x v="1"/>
    <x v="142"/>
    <x v="3"/>
  </r>
  <r>
    <s v="I100462"/>
    <s v="C363980"/>
    <x v="1"/>
    <x v="15"/>
    <x v="6"/>
    <n v="5"/>
    <x v="26"/>
    <x v="0"/>
    <x v="143"/>
    <x v="7"/>
  </r>
  <r>
    <s v="I100464"/>
    <s v="C129826"/>
    <x v="0"/>
    <x v="16"/>
    <x v="0"/>
    <n v="2"/>
    <x v="2"/>
    <x v="1"/>
    <x v="144"/>
    <x v="2"/>
  </r>
  <r>
    <s v="I100465"/>
    <s v="C211946"/>
    <x v="1"/>
    <x v="36"/>
    <x v="0"/>
    <n v="1"/>
    <x v="5"/>
    <x v="0"/>
    <x v="145"/>
    <x v="2"/>
  </r>
  <r>
    <s v="I100466"/>
    <s v="C235798"/>
    <x v="0"/>
    <x v="13"/>
    <x v="0"/>
    <n v="4"/>
    <x v="23"/>
    <x v="1"/>
    <x v="146"/>
    <x v="6"/>
  </r>
  <r>
    <s v="I100470"/>
    <s v="C219411"/>
    <x v="1"/>
    <x v="33"/>
    <x v="5"/>
    <n v="1"/>
    <x v="9"/>
    <x v="2"/>
    <x v="147"/>
    <x v="9"/>
  </r>
  <r>
    <s v="I100472"/>
    <s v="C176862"/>
    <x v="0"/>
    <x v="31"/>
    <x v="1"/>
    <n v="1"/>
    <x v="28"/>
    <x v="0"/>
    <x v="148"/>
    <x v="2"/>
  </r>
  <r>
    <s v="I100473"/>
    <s v="C607315"/>
    <x v="1"/>
    <x v="50"/>
    <x v="2"/>
    <n v="5"/>
    <x v="15"/>
    <x v="1"/>
    <x v="149"/>
    <x v="2"/>
  </r>
  <r>
    <s v="I100484"/>
    <s v="C135857"/>
    <x v="0"/>
    <x v="8"/>
    <x v="0"/>
    <n v="1"/>
    <x v="5"/>
    <x v="1"/>
    <x v="150"/>
    <x v="2"/>
  </r>
  <r>
    <s v="I100487"/>
    <s v="C213360"/>
    <x v="1"/>
    <x v="39"/>
    <x v="1"/>
    <n v="4"/>
    <x v="30"/>
    <x v="0"/>
    <x v="151"/>
    <x v="5"/>
  </r>
  <r>
    <s v="I100491"/>
    <s v="C212593"/>
    <x v="0"/>
    <x v="36"/>
    <x v="5"/>
    <n v="4"/>
    <x v="19"/>
    <x v="2"/>
    <x v="152"/>
    <x v="5"/>
  </r>
  <r>
    <s v="I100494"/>
    <s v="C227575"/>
    <x v="0"/>
    <x v="6"/>
    <x v="7"/>
    <n v="3"/>
    <x v="29"/>
    <x v="1"/>
    <x v="153"/>
    <x v="3"/>
  </r>
  <r>
    <s v="I100496"/>
    <s v="C174558"/>
    <x v="1"/>
    <x v="50"/>
    <x v="0"/>
    <n v="2"/>
    <x v="2"/>
    <x v="0"/>
    <x v="154"/>
    <x v="3"/>
  </r>
  <r>
    <s v="I100498"/>
    <s v="C498727"/>
    <x v="1"/>
    <x v="7"/>
    <x v="3"/>
    <n v="5"/>
    <x v="13"/>
    <x v="0"/>
    <x v="155"/>
    <x v="8"/>
  </r>
  <r>
    <s v="I100499"/>
    <s v="C114407"/>
    <x v="0"/>
    <x v="22"/>
    <x v="0"/>
    <n v="5"/>
    <x v="0"/>
    <x v="0"/>
    <x v="156"/>
    <x v="8"/>
  </r>
  <r>
    <s v="I100501"/>
    <s v="C338282"/>
    <x v="1"/>
    <x v="5"/>
    <x v="3"/>
    <n v="1"/>
    <x v="31"/>
    <x v="1"/>
    <x v="63"/>
    <x v="3"/>
  </r>
  <r>
    <s v="I100502"/>
    <s v="C238358"/>
    <x v="0"/>
    <x v="44"/>
    <x v="7"/>
    <n v="1"/>
    <x v="34"/>
    <x v="2"/>
    <x v="157"/>
    <x v="2"/>
  </r>
  <r>
    <s v="I100504"/>
    <s v="C703075"/>
    <x v="1"/>
    <x v="40"/>
    <x v="5"/>
    <n v="2"/>
    <x v="18"/>
    <x v="0"/>
    <x v="158"/>
    <x v="2"/>
  </r>
  <r>
    <s v="I100508"/>
    <s v="C249896"/>
    <x v="1"/>
    <x v="28"/>
    <x v="0"/>
    <n v="3"/>
    <x v="12"/>
    <x v="1"/>
    <x v="159"/>
    <x v="1"/>
  </r>
  <r>
    <s v="I100512"/>
    <s v="C208841"/>
    <x v="0"/>
    <x v="21"/>
    <x v="4"/>
    <n v="3"/>
    <x v="6"/>
    <x v="1"/>
    <x v="160"/>
    <x v="5"/>
  </r>
  <r>
    <s v="I100519"/>
    <s v="C233898"/>
    <x v="0"/>
    <x v="20"/>
    <x v="0"/>
    <n v="4"/>
    <x v="23"/>
    <x v="2"/>
    <x v="45"/>
    <x v="5"/>
  </r>
  <r>
    <s v="I100522"/>
    <s v="C100218"/>
    <x v="0"/>
    <x v="46"/>
    <x v="0"/>
    <n v="5"/>
    <x v="0"/>
    <x v="0"/>
    <x v="161"/>
    <x v="5"/>
  </r>
  <r>
    <s v="I100526"/>
    <s v="C356129"/>
    <x v="0"/>
    <x v="2"/>
    <x v="1"/>
    <n v="3"/>
    <x v="8"/>
    <x v="1"/>
    <x v="162"/>
    <x v="2"/>
  </r>
  <r>
    <s v="I100527"/>
    <s v="C274542"/>
    <x v="0"/>
    <x v="47"/>
    <x v="0"/>
    <n v="1"/>
    <x v="5"/>
    <x v="0"/>
    <x v="163"/>
    <x v="3"/>
  </r>
  <r>
    <s v="I100537"/>
    <s v="C392460"/>
    <x v="1"/>
    <x v="34"/>
    <x v="6"/>
    <n v="3"/>
    <x v="10"/>
    <x v="1"/>
    <x v="164"/>
    <x v="5"/>
  </r>
  <r>
    <s v="I100538"/>
    <s v="C312561"/>
    <x v="1"/>
    <x v="0"/>
    <x v="0"/>
    <n v="3"/>
    <x v="12"/>
    <x v="0"/>
    <x v="165"/>
    <x v="9"/>
  </r>
  <r>
    <s v="I100540"/>
    <s v="C641482"/>
    <x v="1"/>
    <x v="2"/>
    <x v="0"/>
    <n v="2"/>
    <x v="2"/>
    <x v="2"/>
    <x v="166"/>
    <x v="3"/>
  </r>
  <r>
    <s v="I100541"/>
    <s v="C155234"/>
    <x v="1"/>
    <x v="0"/>
    <x v="6"/>
    <n v="2"/>
    <x v="17"/>
    <x v="0"/>
    <x v="82"/>
    <x v="9"/>
  </r>
  <r>
    <s v="I100542"/>
    <s v="C273404"/>
    <x v="0"/>
    <x v="26"/>
    <x v="6"/>
    <n v="3"/>
    <x v="10"/>
    <x v="2"/>
    <x v="167"/>
    <x v="9"/>
  </r>
  <r>
    <s v="I100543"/>
    <s v="C193964"/>
    <x v="1"/>
    <x v="12"/>
    <x v="4"/>
    <n v="2"/>
    <x v="20"/>
    <x v="0"/>
    <x v="168"/>
    <x v="2"/>
  </r>
  <r>
    <s v="I100547"/>
    <s v="C173500"/>
    <x v="0"/>
    <x v="20"/>
    <x v="4"/>
    <n v="1"/>
    <x v="14"/>
    <x v="2"/>
    <x v="169"/>
    <x v="2"/>
  </r>
  <r>
    <s v="I100550"/>
    <s v="C123577"/>
    <x v="1"/>
    <x v="25"/>
    <x v="6"/>
    <n v="5"/>
    <x v="26"/>
    <x v="0"/>
    <x v="170"/>
    <x v="8"/>
  </r>
  <r>
    <s v="I100552"/>
    <s v="C213606"/>
    <x v="1"/>
    <x v="13"/>
    <x v="4"/>
    <n v="3"/>
    <x v="6"/>
    <x v="2"/>
    <x v="171"/>
    <x v="7"/>
  </r>
  <r>
    <s v="I100555"/>
    <s v="C701082"/>
    <x v="1"/>
    <x v="16"/>
    <x v="0"/>
    <n v="3"/>
    <x v="12"/>
    <x v="0"/>
    <x v="172"/>
    <x v="5"/>
  </r>
  <r>
    <s v="I100558"/>
    <s v="C209906"/>
    <x v="0"/>
    <x v="18"/>
    <x v="1"/>
    <n v="3"/>
    <x v="8"/>
    <x v="2"/>
    <x v="173"/>
    <x v="9"/>
  </r>
  <r>
    <s v="I100561"/>
    <s v="C255643"/>
    <x v="1"/>
    <x v="46"/>
    <x v="0"/>
    <n v="4"/>
    <x v="23"/>
    <x v="1"/>
    <x v="132"/>
    <x v="8"/>
  </r>
  <r>
    <s v="I100565"/>
    <s v="C833577"/>
    <x v="0"/>
    <x v="41"/>
    <x v="0"/>
    <n v="5"/>
    <x v="0"/>
    <x v="0"/>
    <x v="174"/>
    <x v="7"/>
  </r>
  <r>
    <s v="I100566"/>
    <s v="C266257"/>
    <x v="0"/>
    <x v="10"/>
    <x v="0"/>
    <n v="2"/>
    <x v="2"/>
    <x v="0"/>
    <x v="102"/>
    <x v="3"/>
  </r>
  <r>
    <s v="I100567"/>
    <s v="C272165"/>
    <x v="0"/>
    <x v="5"/>
    <x v="7"/>
    <n v="5"/>
    <x v="33"/>
    <x v="2"/>
    <x v="175"/>
    <x v="2"/>
  </r>
  <r>
    <s v="I100571"/>
    <s v="C668914"/>
    <x v="0"/>
    <x v="43"/>
    <x v="0"/>
    <n v="1"/>
    <x v="5"/>
    <x v="1"/>
    <x v="176"/>
    <x v="4"/>
  </r>
  <r>
    <s v="I100572"/>
    <s v="C245347"/>
    <x v="1"/>
    <x v="3"/>
    <x v="0"/>
    <n v="1"/>
    <x v="5"/>
    <x v="0"/>
    <x v="177"/>
    <x v="9"/>
  </r>
  <r>
    <s v="I100578"/>
    <s v="C108143"/>
    <x v="1"/>
    <x v="3"/>
    <x v="5"/>
    <n v="4"/>
    <x v="19"/>
    <x v="0"/>
    <x v="73"/>
    <x v="4"/>
  </r>
  <r>
    <s v="I100579"/>
    <s v="C260481"/>
    <x v="1"/>
    <x v="21"/>
    <x v="4"/>
    <n v="3"/>
    <x v="6"/>
    <x v="2"/>
    <x v="178"/>
    <x v="5"/>
  </r>
  <r>
    <s v="I100580"/>
    <s v="C131158"/>
    <x v="1"/>
    <x v="17"/>
    <x v="7"/>
    <n v="3"/>
    <x v="29"/>
    <x v="0"/>
    <x v="179"/>
    <x v="8"/>
  </r>
  <r>
    <s v="I100582"/>
    <s v="C638859"/>
    <x v="1"/>
    <x v="43"/>
    <x v="0"/>
    <n v="2"/>
    <x v="2"/>
    <x v="0"/>
    <x v="138"/>
    <x v="9"/>
  </r>
  <r>
    <s v="I100586"/>
    <s v="C580838"/>
    <x v="1"/>
    <x v="34"/>
    <x v="0"/>
    <n v="2"/>
    <x v="2"/>
    <x v="2"/>
    <x v="180"/>
    <x v="9"/>
  </r>
  <r>
    <s v="I100591"/>
    <s v="C881158"/>
    <x v="0"/>
    <x v="26"/>
    <x v="7"/>
    <n v="1"/>
    <x v="34"/>
    <x v="2"/>
    <x v="181"/>
    <x v="3"/>
  </r>
  <r>
    <s v="I100593"/>
    <s v="C240318"/>
    <x v="0"/>
    <x v="26"/>
    <x v="3"/>
    <n v="2"/>
    <x v="35"/>
    <x v="0"/>
    <x v="182"/>
    <x v="2"/>
  </r>
  <r>
    <s v="I100599"/>
    <s v="C114161"/>
    <x v="0"/>
    <x v="18"/>
    <x v="5"/>
    <n v="2"/>
    <x v="18"/>
    <x v="2"/>
    <x v="183"/>
    <x v="2"/>
  </r>
  <r>
    <s v="I100601"/>
    <s v="C180415"/>
    <x v="0"/>
    <x v="20"/>
    <x v="7"/>
    <n v="4"/>
    <x v="16"/>
    <x v="0"/>
    <x v="184"/>
    <x v="2"/>
  </r>
  <r>
    <s v="I100607"/>
    <s v="C315778"/>
    <x v="0"/>
    <x v="19"/>
    <x v="0"/>
    <n v="5"/>
    <x v="0"/>
    <x v="1"/>
    <x v="185"/>
    <x v="5"/>
  </r>
  <r>
    <s v="I100610"/>
    <s v="C122598"/>
    <x v="0"/>
    <x v="14"/>
    <x v="2"/>
    <n v="5"/>
    <x v="15"/>
    <x v="1"/>
    <x v="186"/>
    <x v="2"/>
  </r>
  <r>
    <s v="I100611"/>
    <s v="C234086"/>
    <x v="0"/>
    <x v="1"/>
    <x v="7"/>
    <n v="3"/>
    <x v="29"/>
    <x v="0"/>
    <x v="187"/>
    <x v="7"/>
  </r>
  <r>
    <s v="I100614"/>
    <s v="C261517"/>
    <x v="1"/>
    <x v="35"/>
    <x v="1"/>
    <n v="5"/>
    <x v="1"/>
    <x v="0"/>
    <x v="188"/>
    <x v="8"/>
  </r>
  <r>
    <s v="I100615"/>
    <s v="C197426"/>
    <x v="1"/>
    <x v="36"/>
    <x v="0"/>
    <n v="5"/>
    <x v="0"/>
    <x v="0"/>
    <x v="189"/>
    <x v="2"/>
  </r>
  <r>
    <s v="I100617"/>
    <s v="C745941"/>
    <x v="0"/>
    <x v="6"/>
    <x v="2"/>
    <n v="5"/>
    <x v="15"/>
    <x v="0"/>
    <x v="190"/>
    <x v="4"/>
  </r>
  <r>
    <s v="I100618"/>
    <s v="C911820"/>
    <x v="0"/>
    <x v="26"/>
    <x v="2"/>
    <n v="2"/>
    <x v="36"/>
    <x v="2"/>
    <x v="2"/>
    <x v="3"/>
  </r>
  <r>
    <s v="I100622"/>
    <s v="C306817"/>
    <x v="1"/>
    <x v="22"/>
    <x v="0"/>
    <n v="3"/>
    <x v="12"/>
    <x v="2"/>
    <x v="191"/>
    <x v="5"/>
  </r>
  <r>
    <s v="I100624"/>
    <s v="C552809"/>
    <x v="1"/>
    <x v="46"/>
    <x v="0"/>
    <n v="5"/>
    <x v="0"/>
    <x v="1"/>
    <x v="192"/>
    <x v="3"/>
  </r>
  <r>
    <s v="I100627"/>
    <s v="C132581"/>
    <x v="0"/>
    <x v="47"/>
    <x v="2"/>
    <n v="3"/>
    <x v="3"/>
    <x v="1"/>
    <x v="38"/>
    <x v="3"/>
  </r>
  <r>
    <s v="I100628"/>
    <s v="C135129"/>
    <x v="0"/>
    <x v="11"/>
    <x v="0"/>
    <n v="1"/>
    <x v="5"/>
    <x v="0"/>
    <x v="193"/>
    <x v="1"/>
  </r>
  <r>
    <s v="I100630"/>
    <s v="C753708"/>
    <x v="1"/>
    <x v="43"/>
    <x v="4"/>
    <n v="4"/>
    <x v="7"/>
    <x v="1"/>
    <x v="194"/>
    <x v="5"/>
  </r>
  <r>
    <s v="I100634"/>
    <s v="C461631"/>
    <x v="1"/>
    <x v="39"/>
    <x v="0"/>
    <n v="5"/>
    <x v="0"/>
    <x v="0"/>
    <x v="103"/>
    <x v="5"/>
  </r>
  <r>
    <s v="I100635"/>
    <s v="C289537"/>
    <x v="1"/>
    <x v="30"/>
    <x v="0"/>
    <n v="4"/>
    <x v="23"/>
    <x v="1"/>
    <x v="195"/>
    <x v="7"/>
  </r>
  <r>
    <s v="I100639"/>
    <s v="C231484"/>
    <x v="0"/>
    <x v="0"/>
    <x v="3"/>
    <n v="4"/>
    <x v="4"/>
    <x v="2"/>
    <x v="196"/>
    <x v="3"/>
  </r>
  <r>
    <s v="I100651"/>
    <s v="C180588"/>
    <x v="1"/>
    <x v="35"/>
    <x v="1"/>
    <n v="2"/>
    <x v="25"/>
    <x v="2"/>
    <x v="197"/>
    <x v="7"/>
  </r>
  <r>
    <s v="I100652"/>
    <s v="C214732"/>
    <x v="1"/>
    <x v="3"/>
    <x v="0"/>
    <n v="2"/>
    <x v="2"/>
    <x v="2"/>
    <x v="198"/>
    <x v="8"/>
  </r>
  <r>
    <s v="I100656"/>
    <s v="C337441"/>
    <x v="1"/>
    <x v="47"/>
    <x v="1"/>
    <n v="2"/>
    <x v="25"/>
    <x v="0"/>
    <x v="199"/>
    <x v="7"/>
  </r>
  <r>
    <s v="I100659"/>
    <s v="C562791"/>
    <x v="0"/>
    <x v="18"/>
    <x v="6"/>
    <n v="3"/>
    <x v="10"/>
    <x v="0"/>
    <x v="134"/>
    <x v="0"/>
  </r>
  <r>
    <s v="I100663"/>
    <s v="C322131"/>
    <x v="1"/>
    <x v="35"/>
    <x v="4"/>
    <n v="5"/>
    <x v="24"/>
    <x v="0"/>
    <x v="200"/>
    <x v="2"/>
  </r>
  <r>
    <s v="I100664"/>
    <s v="C603641"/>
    <x v="0"/>
    <x v="34"/>
    <x v="0"/>
    <n v="2"/>
    <x v="2"/>
    <x v="1"/>
    <x v="7"/>
    <x v="2"/>
  </r>
  <r>
    <s v="I100666"/>
    <s v="C996052"/>
    <x v="1"/>
    <x v="34"/>
    <x v="2"/>
    <n v="2"/>
    <x v="36"/>
    <x v="0"/>
    <x v="194"/>
    <x v="3"/>
  </r>
  <r>
    <s v="I100671"/>
    <s v="C284324"/>
    <x v="0"/>
    <x v="44"/>
    <x v="0"/>
    <n v="1"/>
    <x v="5"/>
    <x v="0"/>
    <x v="201"/>
    <x v="3"/>
  </r>
  <r>
    <s v="I100682"/>
    <s v="C134970"/>
    <x v="0"/>
    <x v="38"/>
    <x v="7"/>
    <n v="4"/>
    <x v="16"/>
    <x v="0"/>
    <x v="202"/>
    <x v="9"/>
  </r>
  <r>
    <s v="I100684"/>
    <s v="C175424"/>
    <x v="0"/>
    <x v="13"/>
    <x v="1"/>
    <n v="5"/>
    <x v="1"/>
    <x v="2"/>
    <x v="203"/>
    <x v="0"/>
  </r>
  <r>
    <s v="I100685"/>
    <s v="C263059"/>
    <x v="0"/>
    <x v="19"/>
    <x v="6"/>
    <n v="2"/>
    <x v="17"/>
    <x v="1"/>
    <x v="204"/>
    <x v="6"/>
  </r>
  <r>
    <s v="I100691"/>
    <s v="C116434"/>
    <x v="1"/>
    <x v="2"/>
    <x v="0"/>
    <n v="2"/>
    <x v="2"/>
    <x v="0"/>
    <x v="19"/>
    <x v="1"/>
  </r>
  <r>
    <s v="I100694"/>
    <s v="C318405"/>
    <x v="1"/>
    <x v="34"/>
    <x v="4"/>
    <n v="4"/>
    <x v="7"/>
    <x v="0"/>
    <x v="205"/>
    <x v="5"/>
  </r>
  <r>
    <s v="I100696"/>
    <s v="C131827"/>
    <x v="0"/>
    <x v="16"/>
    <x v="0"/>
    <n v="2"/>
    <x v="2"/>
    <x v="0"/>
    <x v="206"/>
    <x v="3"/>
  </r>
  <r>
    <s v="I100697"/>
    <s v="C159194"/>
    <x v="1"/>
    <x v="24"/>
    <x v="0"/>
    <n v="4"/>
    <x v="23"/>
    <x v="0"/>
    <x v="153"/>
    <x v="5"/>
  </r>
  <r>
    <s v="I100699"/>
    <s v="C844692"/>
    <x v="0"/>
    <x v="16"/>
    <x v="2"/>
    <n v="1"/>
    <x v="37"/>
    <x v="2"/>
    <x v="207"/>
    <x v="2"/>
  </r>
  <r>
    <s v="I100700"/>
    <s v="C831975"/>
    <x v="1"/>
    <x v="19"/>
    <x v="0"/>
    <n v="4"/>
    <x v="23"/>
    <x v="2"/>
    <x v="208"/>
    <x v="1"/>
  </r>
  <r>
    <s v="I100703"/>
    <s v="C263996"/>
    <x v="0"/>
    <x v="21"/>
    <x v="0"/>
    <n v="2"/>
    <x v="2"/>
    <x v="0"/>
    <x v="209"/>
    <x v="3"/>
  </r>
  <r>
    <s v="I100704"/>
    <s v="C864065"/>
    <x v="0"/>
    <x v="29"/>
    <x v="3"/>
    <n v="2"/>
    <x v="35"/>
    <x v="1"/>
    <x v="210"/>
    <x v="2"/>
  </r>
  <r>
    <s v="I100709"/>
    <s v="C156430"/>
    <x v="1"/>
    <x v="42"/>
    <x v="0"/>
    <n v="3"/>
    <x v="12"/>
    <x v="1"/>
    <x v="211"/>
    <x v="2"/>
  </r>
  <r>
    <s v="I100719"/>
    <s v="C193403"/>
    <x v="0"/>
    <x v="30"/>
    <x v="7"/>
    <n v="2"/>
    <x v="11"/>
    <x v="0"/>
    <x v="128"/>
    <x v="4"/>
  </r>
  <r>
    <s v="I100721"/>
    <s v="C993556"/>
    <x v="1"/>
    <x v="50"/>
    <x v="0"/>
    <n v="2"/>
    <x v="2"/>
    <x v="1"/>
    <x v="196"/>
    <x v="5"/>
  </r>
  <r>
    <s v="I100723"/>
    <s v="C150582"/>
    <x v="1"/>
    <x v="25"/>
    <x v="7"/>
    <n v="1"/>
    <x v="34"/>
    <x v="1"/>
    <x v="212"/>
    <x v="2"/>
  </r>
  <r>
    <s v="I100731"/>
    <s v="C868764"/>
    <x v="1"/>
    <x v="44"/>
    <x v="2"/>
    <n v="1"/>
    <x v="37"/>
    <x v="1"/>
    <x v="213"/>
    <x v="0"/>
  </r>
  <r>
    <s v="I100733"/>
    <s v="C932952"/>
    <x v="1"/>
    <x v="41"/>
    <x v="2"/>
    <n v="1"/>
    <x v="37"/>
    <x v="0"/>
    <x v="214"/>
    <x v="5"/>
  </r>
  <r>
    <s v="I100735"/>
    <s v="C107829"/>
    <x v="1"/>
    <x v="16"/>
    <x v="6"/>
    <n v="4"/>
    <x v="32"/>
    <x v="1"/>
    <x v="215"/>
    <x v="7"/>
  </r>
  <r>
    <s v="I100738"/>
    <s v="C155129"/>
    <x v="0"/>
    <x v="28"/>
    <x v="0"/>
    <n v="2"/>
    <x v="2"/>
    <x v="1"/>
    <x v="216"/>
    <x v="5"/>
  </r>
  <r>
    <s v="I100741"/>
    <s v="C828874"/>
    <x v="0"/>
    <x v="35"/>
    <x v="1"/>
    <n v="5"/>
    <x v="1"/>
    <x v="1"/>
    <x v="217"/>
    <x v="8"/>
  </r>
  <r>
    <s v="I100742"/>
    <s v="C422142"/>
    <x v="1"/>
    <x v="38"/>
    <x v="4"/>
    <n v="3"/>
    <x v="6"/>
    <x v="2"/>
    <x v="164"/>
    <x v="7"/>
  </r>
  <r>
    <s v="I100744"/>
    <s v="C146601"/>
    <x v="1"/>
    <x v="8"/>
    <x v="0"/>
    <n v="4"/>
    <x v="23"/>
    <x v="0"/>
    <x v="216"/>
    <x v="5"/>
  </r>
  <r>
    <s v="I100749"/>
    <s v="C272878"/>
    <x v="1"/>
    <x v="12"/>
    <x v="7"/>
    <n v="2"/>
    <x v="11"/>
    <x v="0"/>
    <x v="2"/>
    <x v="3"/>
  </r>
  <r>
    <s v="I100756"/>
    <s v="C771102"/>
    <x v="0"/>
    <x v="24"/>
    <x v="0"/>
    <n v="1"/>
    <x v="5"/>
    <x v="0"/>
    <x v="218"/>
    <x v="2"/>
  </r>
  <r>
    <s v="I100760"/>
    <s v="C800785"/>
    <x v="1"/>
    <x v="5"/>
    <x v="2"/>
    <n v="4"/>
    <x v="21"/>
    <x v="2"/>
    <x v="219"/>
    <x v="2"/>
  </r>
  <r>
    <s v="I100762"/>
    <s v="C183883"/>
    <x v="1"/>
    <x v="20"/>
    <x v="0"/>
    <n v="1"/>
    <x v="5"/>
    <x v="1"/>
    <x v="220"/>
    <x v="4"/>
  </r>
  <r>
    <s v="I100763"/>
    <s v="C264447"/>
    <x v="1"/>
    <x v="2"/>
    <x v="1"/>
    <n v="4"/>
    <x v="30"/>
    <x v="0"/>
    <x v="0"/>
    <x v="8"/>
  </r>
  <r>
    <s v="I100764"/>
    <s v="C564073"/>
    <x v="0"/>
    <x v="47"/>
    <x v="1"/>
    <n v="3"/>
    <x v="8"/>
    <x v="2"/>
    <x v="221"/>
    <x v="9"/>
  </r>
  <r>
    <s v="I100768"/>
    <s v="C223065"/>
    <x v="1"/>
    <x v="20"/>
    <x v="1"/>
    <n v="3"/>
    <x v="8"/>
    <x v="0"/>
    <x v="222"/>
    <x v="5"/>
  </r>
  <r>
    <s v="I100770"/>
    <s v="C140792"/>
    <x v="1"/>
    <x v="45"/>
    <x v="7"/>
    <n v="5"/>
    <x v="33"/>
    <x v="2"/>
    <x v="223"/>
    <x v="7"/>
  </r>
  <r>
    <s v="I100771"/>
    <s v="C235228"/>
    <x v="1"/>
    <x v="26"/>
    <x v="4"/>
    <n v="3"/>
    <x v="6"/>
    <x v="2"/>
    <x v="224"/>
    <x v="9"/>
  </r>
  <r>
    <s v="I100775"/>
    <s v="C981100"/>
    <x v="0"/>
    <x v="26"/>
    <x v="1"/>
    <n v="5"/>
    <x v="1"/>
    <x v="0"/>
    <x v="225"/>
    <x v="7"/>
  </r>
  <r>
    <s v="I100777"/>
    <s v="C303252"/>
    <x v="1"/>
    <x v="25"/>
    <x v="7"/>
    <n v="3"/>
    <x v="29"/>
    <x v="2"/>
    <x v="226"/>
    <x v="5"/>
  </r>
  <r>
    <s v="I100780"/>
    <s v="C191396"/>
    <x v="1"/>
    <x v="34"/>
    <x v="2"/>
    <n v="3"/>
    <x v="3"/>
    <x v="2"/>
    <x v="227"/>
    <x v="2"/>
  </r>
  <r>
    <s v="I100782"/>
    <s v="C582964"/>
    <x v="0"/>
    <x v="1"/>
    <x v="4"/>
    <n v="3"/>
    <x v="6"/>
    <x v="1"/>
    <x v="228"/>
    <x v="4"/>
  </r>
  <r>
    <s v="I100791"/>
    <s v="C289735"/>
    <x v="1"/>
    <x v="9"/>
    <x v="1"/>
    <n v="4"/>
    <x v="30"/>
    <x v="0"/>
    <x v="229"/>
    <x v="7"/>
  </r>
  <r>
    <s v="I100793"/>
    <s v="C328805"/>
    <x v="0"/>
    <x v="51"/>
    <x v="1"/>
    <n v="3"/>
    <x v="8"/>
    <x v="0"/>
    <x v="230"/>
    <x v="9"/>
  </r>
  <r>
    <s v="I100795"/>
    <s v="C232822"/>
    <x v="0"/>
    <x v="34"/>
    <x v="2"/>
    <n v="2"/>
    <x v="36"/>
    <x v="1"/>
    <x v="190"/>
    <x v="5"/>
  </r>
  <r>
    <s v="I100797"/>
    <s v="C224221"/>
    <x v="0"/>
    <x v="26"/>
    <x v="5"/>
    <n v="4"/>
    <x v="19"/>
    <x v="2"/>
    <x v="231"/>
    <x v="7"/>
  </r>
  <r>
    <s v="I100803"/>
    <s v="C273636"/>
    <x v="1"/>
    <x v="25"/>
    <x v="2"/>
    <n v="5"/>
    <x v="15"/>
    <x v="0"/>
    <x v="139"/>
    <x v="2"/>
  </r>
  <r>
    <s v="I100812"/>
    <s v="C208761"/>
    <x v="1"/>
    <x v="43"/>
    <x v="0"/>
    <n v="5"/>
    <x v="0"/>
    <x v="2"/>
    <x v="232"/>
    <x v="7"/>
  </r>
  <r>
    <s v="I100813"/>
    <s v="C250804"/>
    <x v="0"/>
    <x v="7"/>
    <x v="0"/>
    <n v="2"/>
    <x v="2"/>
    <x v="0"/>
    <x v="180"/>
    <x v="0"/>
  </r>
  <r>
    <s v="I100814"/>
    <s v="C130818"/>
    <x v="1"/>
    <x v="25"/>
    <x v="2"/>
    <n v="3"/>
    <x v="3"/>
    <x v="2"/>
    <x v="233"/>
    <x v="2"/>
  </r>
  <r>
    <s v="I100815"/>
    <s v="C222582"/>
    <x v="0"/>
    <x v="8"/>
    <x v="7"/>
    <n v="4"/>
    <x v="16"/>
    <x v="0"/>
    <x v="234"/>
    <x v="5"/>
  </r>
  <r>
    <s v="I100818"/>
    <s v="C151068"/>
    <x v="1"/>
    <x v="10"/>
    <x v="4"/>
    <n v="3"/>
    <x v="6"/>
    <x v="0"/>
    <x v="235"/>
    <x v="2"/>
  </r>
  <r>
    <s v="I100820"/>
    <s v="C180870"/>
    <x v="0"/>
    <x v="28"/>
    <x v="4"/>
    <n v="2"/>
    <x v="20"/>
    <x v="0"/>
    <x v="10"/>
    <x v="3"/>
  </r>
  <r>
    <s v="I100822"/>
    <s v="C336505"/>
    <x v="0"/>
    <x v="1"/>
    <x v="1"/>
    <n v="1"/>
    <x v="28"/>
    <x v="0"/>
    <x v="47"/>
    <x v="4"/>
  </r>
  <r>
    <s v="I100829"/>
    <s v="C115788"/>
    <x v="0"/>
    <x v="33"/>
    <x v="6"/>
    <n v="5"/>
    <x v="26"/>
    <x v="2"/>
    <x v="177"/>
    <x v="9"/>
  </r>
  <r>
    <s v="I100835"/>
    <s v="C259176"/>
    <x v="1"/>
    <x v="31"/>
    <x v="0"/>
    <n v="5"/>
    <x v="0"/>
    <x v="1"/>
    <x v="236"/>
    <x v="1"/>
  </r>
  <r>
    <s v="I100837"/>
    <s v="C827434"/>
    <x v="0"/>
    <x v="0"/>
    <x v="0"/>
    <n v="1"/>
    <x v="5"/>
    <x v="0"/>
    <x v="76"/>
    <x v="8"/>
  </r>
  <r>
    <s v="I100842"/>
    <s v="C143467"/>
    <x v="1"/>
    <x v="22"/>
    <x v="4"/>
    <n v="5"/>
    <x v="24"/>
    <x v="2"/>
    <x v="237"/>
    <x v="6"/>
  </r>
  <r>
    <s v="I100843"/>
    <s v="C170564"/>
    <x v="1"/>
    <x v="47"/>
    <x v="0"/>
    <n v="4"/>
    <x v="23"/>
    <x v="1"/>
    <x v="117"/>
    <x v="7"/>
  </r>
  <r>
    <s v="I100851"/>
    <s v="C256797"/>
    <x v="1"/>
    <x v="33"/>
    <x v="1"/>
    <n v="1"/>
    <x v="28"/>
    <x v="2"/>
    <x v="172"/>
    <x v="9"/>
  </r>
  <r>
    <s v="I100855"/>
    <s v="C125109"/>
    <x v="1"/>
    <x v="7"/>
    <x v="0"/>
    <n v="3"/>
    <x v="12"/>
    <x v="2"/>
    <x v="238"/>
    <x v="0"/>
  </r>
  <r>
    <s v="I100856"/>
    <s v="C475330"/>
    <x v="0"/>
    <x v="16"/>
    <x v="4"/>
    <n v="3"/>
    <x v="6"/>
    <x v="0"/>
    <x v="184"/>
    <x v="7"/>
  </r>
  <r>
    <s v="I100861"/>
    <s v="C281937"/>
    <x v="1"/>
    <x v="20"/>
    <x v="1"/>
    <n v="2"/>
    <x v="25"/>
    <x v="0"/>
    <x v="133"/>
    <x v="1"/>
  </r>
  <r>
    <s v="I100863"/>
    <s v="C302400"/>
    <x v="0"/>
    <x v="2"/>
    <x v="4"/>
    <n v="2"/>
    <x v="20"/>
    <x v="0"/>
    <x v="239"/>
    <x v="0"/>
  </r>
  <r>
    <s v="I100865"/>
    <s v="C234663"/>
    <x v="1"/>
    <x v="16"/>
    <x v="1"/>
    <n v="3"/>
    <x v="8"/>
    <x v="0"/>
    <x v="240"/>
    <x v="9"/>
  </r>
  <r>
    <s v="I100866"/>
    <s v="C265260"/>
    <x v="1"/>
    <x v="47"/>
    <x v="4"/>
    <n v="3"/>
    <x v="6"/>
    <x v="0"/>
    <x v="241"/>
    <x v="3"/>
  </r>
  <r>
    <s v="I100870"/>
    <s v="C236060"/>
    <x v="0"/>
    <x v="15"/>
    <x v="2"/>
    <n v="2"/>
    <x v="36"/>
    <x v="0"/>
    <x v="135"/>
    <x v="3"/>
  </r>
  <r>
    <s v="I100875"/>
    <s v="C232349"/>
    <x v="1"/>
    <x v="28"/>
    <x v="7"/>
    <n v="2"/>
    <x v="11"/>
    <x v="0"/>
    <x v="242"/>
    <x v="2"/>
  </r>
  <r>
    <s v="I100880"/>
    <s v="C217725"/>
    <x v="1"/>
    <x v="9"/>
    <x v="5"/>
    <n v="3"/>
    <x v="27"/>
    <x v="0"/>
    <x v="243"/>
    <x v="7"/>
  </r>
  <r>
    <s v="I100881"/>
    <s v="C332806"/>
    <x v="0"/>
    <x v="33"/>
    <x v="6"/>
    <n v="1"/>
    <x v="38"/>
    <x v="1"/>
    <x v="244"/>
    <x v="5"/>
  </r>
  <r>
    <s v="I100884"/>
    <s v="C729531"/>
    <x v="1"/>
    <x v="27"/>
    <x v="6"/>
    <n v="1"/>
    <x v="38"/>
    <x v="0"/>
    <x v="245"/>
    <x v="3"/>
  </r>
  <r>
    <s v="I100885"/>
    <s v="C102033"/>
    <x v="0"/>
    <x v="25"/>
    <x v="2"/>
    <n v="5"/>
    <x v="15"/>
    <x v="0"/>
    <x v="148"/>
    <x v="2"/>
  </r>
  <r>
    <s v="I100886"/>
    <s v="C676444"/>
    <x v="1"/>
    <x v="35"/>
    <x v="1"/>
    <n v="5"/>
    <x v="1"/>
    <x v="0"/>
    <x v="153"/>
    <x v="3"/>
  </r>
  <r>
    <s v="I100897"/>
    <s v="C402407"/>
    <x v="0"/>
    <x v="45"/>
    <x v="5"/>
    <n v="4"/>
    <x v="19"/>
    <x v="2"/>
    <x v="246"/>
    <x v="5"/>
  </r>
  <r>
    <s v="I100899"/>
    <s v="C256232"/>
    <x v="0"/>
    <x v="13"/>
    <x v="0"/>
    <n v="5"/>
    <x v="0"/>
    <x v="0"/>
    <x v="6"/>
    <x v="5"/>
  </r>
  <r>
    <s v="I100900"/>
    <s v="C221280"/>
    <x v="0"/>
    <x v="28"/>
    <x v="4"/>
    <n v="5"/>
    <x v="24"/>
    <x v="0"/>
    <x v="247"/>
    <x v="1"/>
  </r>
  <r>
    <s v="I100901"/>
    <s v="C178198"/>
    <x v="1"/>
    <x v="35"/>
    <x v="0"/>
    <n v="1"/>
    <x v="5"/>
    <x v="1"/>
    <x v="248"/>
    <x v="5"/>
  </r>
  <r>
    <s v="I100903"/>
    <s v="C702152"/>
    <x v="1"/>
    <x v="10"/>
    <x v="0"/>
    <n v="3"/>
    <x v="12"/>
    <x v="1"/>
    <x v="249"/>
    <x v="3"/>
  </r>
  <r>
    <s v="I100904"/>
    <s v="C138573"/>
    <x v="0"/>
    <x v="33"/>
    <x v="4"/>
    <n v="5"/>
    <x v="24"/>
    <x v="1"/>
    <x v="250"/>
    <x v="5"/>
  </r>
  <r>
    <s v="I100911"/>
    <s v="C330379"/>
    <x v="1"/>
    <x v="5"/>
    <x v="3"/>
    <n v="1"/>
    <x v="31"/>
    <x v="2"/>
    <x v="132"/>
    <x v="3"/>
  </r>
  <r>
    <s v="I100913"/>
    <s v="C229817"/>
    <x v="1"/>
    <x v="35"/>
    <x v="5"/>
    <n v="4"/>
    <x v="19"/>
    <x v="0"/>
    <x v="251"/>
    <x v="1"/>
  </r>
  <r>
    <s v="I100914"/>
    <s v="C299493"/>
    <x v="1"/>
    <x v="39"/>
    <x v="4"/>
    <n v="1"/>
    <x v="14"/>
    <x v="2"/>
    <x v="174"/>
    <x v="5"/>
  </r>
  <r>
    <s v="I100919"/>
    <s v="C189282"/>
    <x v="1"/>
    <x v="24"/>
    <x v="1"/>
    <n v="1"/>
    <x v="28"/>
    <x v="2"/>
    <x v="252"/>
    <x v="5"/>
  </r>
  <r>
    <s v="I100921"/>
    <s v="C323178"/>
    <x v="1"/>
    <x v="49"/>
    <x v="1"/>
    <n v="4"/>
    <x v="30"/>
    <x v="2"/>
    <x v="253"/>
    <x v="3"/>
  </r>
  <r>
    <s v="I100922"/>
    <s v="C185007"/>
    <x v="1"/>
    <x v="24"/>
    <x v="1"/>
    <n v="3"/>
    <x v="8"/>
    <x v="0"/>
    <x v="153"/>
    <x v="2"/>
  </r>
  <r>
    <s v="I100923"/>
    <s v="C139812"/>
    <x v="1"/>
    <x v="35"/>
    <x v="4"/>
    <n v="1"/>
    <x v="14"/>
    <x v="2"/>
    <x v="254"/>
    <x v="9"/>
  </r>
  <r>
    <s v="I100929"/>
    <s v="C224506"/>
    <x v="0"/>
    <x v="40"/>
    <x v="1"/>
    <n v="1"/>
    <x v="28"/>
    <x v="2"/>
    <x v="255"/>
    <x v="2"/>
  </r>
  <r>
    <s v="I100932"/>
    <s v="C204475"/>
    <x v="0"/>
    <x v="31"/>
    <x v="0"/>
    <n v="2"/>
    <x v="2"/>
    <x v="0"/>
    <x v="256"/>
    <x v="2"/>
  </r>
  <r>
    <s v="I100936"/>
    <s v="C331442"/>
    <x v="1"/>
    <x v="2"/>
    <x v="0"/>
    <n v="1"/>
    <x v="5"/>
    <x v="1"/>
    <x v="257"/>
    <x v="2"/>
  </r>
  <r>
    <s v="I100953"/>
    <s v="C250015"/>
    <x v="1"/>
    <x v="15"/>
    <x v="5"/>
    <n v="4"/>
    <x v="19"/>
    <x v="0"/>
    <x v="57"/>
    <x v="9"/>
  </r>
  <r>
    <s v="I100960"/>
    <s v="C156642"/>
    <x v="1"/>
    <x v="36"/>
    <x v="2"/>
    <n v="3"/>
    <x v="3"/>
    <x v="0"/>
    <x v="258"/>
    <x v="5"/>
  </r>
  <r>
    <s v="I100961"/>
    <s v="C157517"/>
    <x v="1"/>
    <x v="48"/>
    <x v="0"/>
    <n v="2"/>
    <x v="2"/>
    <x v="0"/>
    <x v="259"/>
    <x v="6"/>
  </r>
  <r>
    <s v="I100963"/>
    <s v="C500323"/>
    <x v="1"/>
    <x v="2"/>
    <x v="2"/>
    <n v="1"/>
    <x v="37"/>
    <x v="1"/>
    <x v="260"/>
    <x v="8"/>
  </r>
  <r>
    <s v="I100964"/>
    <s v="C253827"/>
    <x v="0"/>
    <x v="51"/>
    <x v="1"/>
    <n v="4"/>
    <x v="30"/>
    <x v="0"/>
    <x v="74"/>
    <x v="2"/>
  </r>
  <r>
    <s v="I100965"/>
    <s v="C336119"/>
    <x v="1"/>
    <x v="7"/>
    <x v="5"/>
    <n v="4"/>
    <x v="19"/>
    <x v="0"/>
    <x v="238"/>
    <x v="0"/>
  </r>
  <r>
    <s v="I100969"/>
    <s v="C242347"/>
    <x v="0"/>
    <x v="50"/>
    <x v="0"/>
    <n v="1"/>
    <x v="5"/>
    <x v="2"/>
    <x v="261"/>
    <x v="9"/>
  </r>
  <r>
    <s v="I100977"/>
    <s v="C221903"/>
    <x v="1"/>
    <x v="18"/>
    <x v="7"/>
    <n v="3"/>
    <x v="29"/>
    <x v="1"/>
    <x v="262"/>
    <x v="3"/>
  </r>
  <r>
    <s v="I100978"/>
    <s v="C172330"/>
    <x v="1"/>
    <x v="29"/>
    <x v="1"/>
    <n v="5"/>
    <x v="1"/>
    <x v="0"/>
    <x v="263"/>
    <x v="3"/>
  </r>
  <r>
    <s v="I100981"/>
    <s v="C116368"/>
    <x v="1"/>
    <x v="32"/>
    <x v="0"/>
    <n v="2"/>
    <x v="2"/>
    <x v="2"/>
    <x v="264"/>
    <x v="7"/>
  </r>
  <r>
    <s v="I100983"/>
    <s v="C203462"/>
    <x v="1"/>
    <x v="3"/>
    <x v="0"/>
    <n v="1"/>
    <x v="5"/>
    <x v="2"/>
    <x v="78"/>
    <x v="4"/>
  </r>
  <r>
    <s v="I100988"/>
    <s v="C202289"/>
    <x v="0"/>
    <x v="27"/>
    <x v="0"/>
    <n v="2"/>
    <x v="2"/>
    <x v="0"/>
    <x v="265"/>
    <x v="9"/>
  </r>
  <r>
    <s v="I100991"/>
    <s v="C326660"/>
    <x v="0"/>
    <x v="51"/>
    <x v="5"/>
    <n v="5"/>
    <x v="22"/>
    <x v="1"/>
    <x v="207"/>
    <x v="7"/>
  </r>
  <r>
    <s v="I100998"/>
    <s v="C253884"/>
    <x v="0"/>
    <x v="29"/>
    <x v="7"/>
    <n v="3"/>
    <x v="29"/>
    <x v="1"/>
    <x v="266"/>
    <x v="5"/>
  </r>
  <r>
    <s v="I101008"/>
    <s v="C314812"/>
    <x v="0"/>
    <x v="34"/>
    <x v="5"/>
    <n v="3"/>
    <x v="27"/>
    <x v="0"/>
    <x v="193"/>
    <x v="9"/>
  </r>
  <r>
    <s v="I101010"/>
    <s v="C766878"/>
    <x v="1"/>
    <x v="6"/>
    <x v="0"/>
    <n v="2"/>
    <x v="2"/>
    <x v="1"/>
    <x v="224"/>
    <x v="0"/>
  </r>
  <r>
    <s v="I101017"/>
    <s v="C124932"/>
    <x v="1"/>
    <x v="42"/>
    <x v="5"/>
    <n v="5"/>
    <x v="22"/>
    <x v="0"/>
    <x v="9"/>
    <x v="2"/>
  </r>
  <r>
    <s v="I101018"/>
    <s v="C266367"/>
    <x v="1"/>
    <x v="46"/>
    <x v="4"/>
    <n v="1"/>
    <x v="14"/>
    <x v="1"/>
    <x v="55"/>
    <x v="6"/>
  </r>
  <r>
    <s v="I101022"/>
    <s v="C237146"/>
    <x v="1"/>
    <x v="11"/>
    <x v="7"/>
    <n v="3"/>
    <x v="29"/>
    <x v="2"/>
    <x v="267"/>
    <x v="5"/>
  </r>
  <r>
    <s v="I101031"/>
    <s v="C215753"/>
    <x v="1"/>
    <x v="12"/>
    <x v="1"/>
    <n v="4"/>
    <x v="30"/>
    <x v="2"/>
    <x v="268"/>
    <x v="7"/>
  </r>
  <r>
    <s v="I101034"/>
    <s v="C722304"/>
    <x v="0"/>
    <x v="4"/>
    <x v="7"/>
    <n v="5"/>
    <x v="33"/>
    <x v="0"/>
    <x v="54"/>
    <x v="3"/>
  </r>
  <r>
    <s v="I101037"/>
    <s v="C216533"/>
    <x v="1"/>
    <x v="13"/>
    <x v="6"/>
    <n v="2"/>
    <x v="17"/>
    <x v="0"/>
    <x v="269"/>
    <x v="6"/>
  </r>
  <r>
    <s v="I101038"/>
    <s v="C144914"/>
    <x v="1"/>
    <x v="41"/>
    <x v="3"/>
    <n v="2"/>
    <x v="35"/>
    <x v="1"/>
    <x v="270"/>
    <x v="8"/>
  </r>
  <r>
    <s v="I101043"/>
    <s v="C289681"/>
    <x v="1"/>
    <x v="33"/>
    <x v="0"/>
    <n v="1"/>
    <x v="5"/>
    <x v="2"/>
    <x v="271"/>
    <x v="8"/>
  </r>
  <r>
    <s v="I101048"/>
    <s v="C186345"/>
    <x v="0"/>
    <x v="4"/>
    <x v="0"/>
    <n v="2"/>
    <x v="2"/>
    <x v="0"/>
    <x v="272"/>
    <x v="3"/>
  </r>
  <r>
    <s v="I101051"/>
    <s v="C722098"/>
    <x v="0"/>
    <x v="40"/>
    <x v="5"/>
    <n v="3"/>
    <x v="27"/>
    <x v="2"/>
    <x v="273"/>
    <x v="2"/>
  </r>
  <r>
    <s v="I101052"/>
    <s v="C844541"/>
    <x v="0"/>
    <x v="43"/>
    <x v="3"/>
    <n v="3"/>
    <x v="39"/>
    <x v="1"/>
    <x v="274"/>
    <x v="5"/>
  </r>
  <r>
    <s v="I101059"/>
    <s v="C236719"/>
    <x v="1"/>
    <x v="16"/>
    <x v="0"/>
    <n v="5"/>
    <x v="0"/>
    <x v="0"/>
    <x v="253"/>
    <x v="2"/>
  </r>
  <r>
    <s v="I101060"/>
    <s v="C131806"/>
    <x v="1"/>
    <x v="47"/>
    <x v="0"/>
    <n v="2"/>
    <x v="2"/>
    <x v="2"/>
    <x v="27"/>
    <x v="3"/>
  </r>
  <r>
    <s v="I101070"/>
    <s v="C330130"/>
    <x v="1"/>
    <x v="5"/>
    <x v="3"/>
    <n v="1"/>
    <x v="31"/>
    <x v="2"/>
    <x v="129"/>
    <x v="5"/>
  </r>
  <r>
    <s v="I101083"/>
    <s v="C165321"/>
    <x v="1"/>
    <x v="36"/>
    <x v="0"/>
    <n v="3"/>
    <x v="12"/>
    <x v="1"/>
    <x v="275"/>
    <x v="5"/>
  </r>
  <r>
    <s v="I101084"/>
    <s v="C943266"/>
    <x v="1"/>
    <x v="46"/>
    <x v="4"/>
    <n v="1"/>
    <x v="14"/>
    <x v="0"/>
    <x v="276"/>
    <x v="5"/>
  </r>
  <r>
    <s v="I101086"/>
    <s v="C168165"/>
    <x v="1"/>
    <x v="22"/>
    <x v="5"/>
    <n v="4"/>
    <x v="19"/>
    <x v="1"/>
    <x v="277"/>
    <x v="5"/>
  </r>
  <r>
    <s v="I101088"/>
    <s v="C824542"/>
    <x v="1"/>
    <x v="44"/>
    <x v="7"/>
    <n v="5"/>
    <x v="33"/>
    <x v="1"/>
    <x v="149"/>
    <x v="5"/>
  </r>
  <r>
    <s v="I101089"/>
    <s v="C392188"/>
    <x v="0"/>
    <x v="9"/>
    <x v="0"/>
    <n v="5"/>
    <x v="0"/>
    <x v="2"/>
    <x v="244"/>
    <x v="2"/>
  </r>
  <r>
    <s v="I101093"/>
    <s v="C301696"/>
    <x v="1"/>
    <x v="31"/>
    <x v="0"/>
    <n v="4"/>
    <x v="23"/>
    <x v="0"/>
    <x v="115"/>
    <x v="2"/>
  </r>
  <r>
    <s v="I101103"/>
    <s v="C194266"/>
    <x v="1"/>
    <x v="22"/>
    <x v="5"/>
    <n v="4"/>
    <x v="19"/>
    <x v="0"/>
    <x v="278"/>
    <x v="6"/>
  </r>
  <r>
    <s v="I101113"/>
    <s v="C315161"/>
    <x v="1"/>
    <x v="14"/>
    <x v="5"/>
    <n v="3"/>
    <x v="27"/>
    <x v="0"/>
    <x v="65"/>
    <x v="6"/>
  </r>
  <r>
    <s v="I101115"/>
    <s v="C540954"/>
    <x v="1"/>
    <x v="13"/>
    <x v="1"/>
    <n v="4"/>
    <x v="30"/>
    <x v="2"/>
    <x v="279"/>
    <x v="3"/>
  </r>
  <r>
    <s v="I101130"/>
    <s v="C298295"/>
    <x v="0"/>
    <x v="22"/>
    <x v="4"/>
    <n v="3"/>
    <x v="6"/>
    <x v="0"/>
    <x v="172"/>
    <x v="5"/>
  </r>
  <r>
    <s v="I101131"/>
    <s v="C329519"/>
    <x v="1"/>
    <x v="39"/>
    <x v="1"/>
    <n v="5"/>
    <x v="1"/>
    <x v="2"/>
    <x v="280"/>
    <x v="7"/>
  </r>
  <r>
    <s v="I101133"/>
    <s v="C270664"/>
    <x v="1"/>
    <x v="7"/>
    <x v="0"/>
    <n v="2"/>
    <x v="2"/>
    <x v="0"/>
    <x v="281"/>
    <x v="5"/>
  </r>
  <r>
    <s v="I101135"/>
    <s v="C689947"/>
    <x v="0"/>
    <x v="23"/>
    <x v="0"/>
    <n v="5"/>
    <x v="0"/>
    <x v="2"/>
    <x v="243"/>
    <x v="5"/>
  </r>
  <r>
    <s v="I101140"/>
    <s v="C122069"/>
    <x v="1"/>
    <x v="28"/>
    <x v="0"/>
    <n v="5"/>
    <x v="0"/>
    <x v="2"/>
    <x v="282"/>
    <x v="6"/>
  </r>
  <r>
    <s v="I101143"/>
    <s v="C293655"/>
    <x v="0"/>
    <x v="15"/>
    <x v="6"/>
    <n v="5"/>
    <x v="26"/>
    <x v="1"/>
    <x v="57"/>
    <x v="2"/>
  </r>
  <r>
    <s v="I101146"/>
    <s v="C303865"/>
    <x v="0"/>
    <x v="46"/>
    <x v="4"/>
    <n v="2"/>
    <x v="20"/>
    <x v="2"/>
    <x v="283"/>
    <x v="1"/>
  </r>
  <r>
    <s v="I101148"/>
    <s v="C680169"/>
    <x v="1"/>
    <x v="46"/>
    <x v="1"/>
    <n v="4"/>
    <x v="30"/>
    <x v="0"/>
    <x v="129"/>
    <x v="8"/>
  </r>
  <r>
    <s v="I101152"/>
    <s v="C276049"/>
    <x v="0"/>
    <x v="13"/>
    <x v="0"/>
    <n v="3"/>
    <x v="12"/>
    <x v="0"/>
    <x v="284"/>
    <x v="5"/>
  </r>
  <r>
    <s v="I101154"/>
    <s v="C453116"/>
    <x v="0"/>
    <x v="45"/>
    <x v="0"/>
    <n v="4"/>
    <x v="23"/>
    <x v="2"/>
    <x v="115"/>
    <x v="3"/>
  </r>
  <r>
    <s v="I101155"/>
    <s v="C114131"/>
    <x v="1"/>
    <x v="38"/>
    <x v="0"/>
    <n v="5"/>
    <x v="0"/>
    <x v="0"/>
    <x v="285"/>
    <x v="7"/>
  </r>
  <r>
    <s v="I101156"/>
    <s v="C251408"/>
    <x v="1"/>
    <x v="7"/>
    <x v="0"/>
    <n v="2"/>
    <x v="2"/>
    <x v="0"/>
    <x v="49"/>
    <x v="4"/>
  </r>
  <r>
    <s v="I101165"/>
    <s v="C325003"/>
    <x v="1"/>
    <x v="37"/>
    <x v="0"/>
    <n v="1"/>
    <x v="5"/>
    <x v="1"/>
    <x v="286"/>
    <x v="5"/>
  </r>
  <r>
    <s v="I101167"/>
    <s v="C492992"/>
    <x v="1"/>
    <x v="9"/>
    <x v="4"/>
    <n v="5"/>
    <x v="24"/>
    <x v="2"/>
    <x v="287"/>
    <x v="9"/>
  </r>
  <r>
    <s v="I101171"/>
    <s v="C786797"/>
    <x v="1"/>
    <x v="14"/>
    <x v="0"/>
    <n v="3"/>
    <x v="12"/>
    <x v="0"/>
    <x v="288"/>
    <x v="2"/>
  </r>
  <r>
    <s v="I101176"/>
    <s v="C195529"/>
    <x v="1"/>
    <x v="24"/>
    <x v="4"/>
    <n v="1"/>
    <x v="14"/>
    <x v="0"/>
    <x v="260"/>
    <x v="9"/>
  </r>
  <r>
    <s v="I101181"/>
    <s v="C167199"/>
    <x v="0"/>
    <x v="11"/>
    <x v="4"/>
    <n v="1"/>
    <x v="14"/>
    <x v="0"/>
    <x v="289"/>
    <x v="9"/>
  </r>
  <r>
    <s v="I101183"/>
    <s v="C274709"/>
    <x v="1"/>
    <x v="35"/>
    <x v="1"/>
    <n v="1"/>
    <x v="28"/>
    <x v="1"/>
    <x v="290"/>
    <x v="7"/>
  </r>
  <r>
    <s v="I101185"/>
    <s v="C269338"/>
    <x v="1"/>
    <x v="19"/>
    <x v="1"/>
    <n v="3"/>
    <x v="8"/>
    <x v="2"/>
    <x v="291"/>
    <x v="9"/>
  </r>
  <r>
    <s v="I101189"/>
    <s v="C301407"/>
    <x v="0"/>
    <x v="17"/>
    <x v="6"/>
    <n v="2"/>
    <x v="17"/>
    <x v="0"/>
    <x v="292"/>
    <x v="3"/>
  </r>
  <r>
    <s v="I101190"/>
    <s v="C115198"/>
    <x v="1"/>
    <x v="43"/>
    <x v="4"/>
    <n v="1"/>
    <x v="14"/>
    <x v="2"/>
    <x v="225"/>
    <x v="9"/>
  </r>
  <r>
    <s v="I101192"/>
    <s v="C298571"/>
    <x v="0"/>
    <x v="43"/>
    <x v="7"/>
    <n v="5"/>
    <x v="33"/>
    <x v="0"/>
    <x v="47"/>
    <x v="6"/>
  </r>
  <r>
    <s v="I101193"/>
    <s v="C298074"/>
    <x v="1"/>
    <x v="30"/>
    <x v="4"/>
    <n v="5"/>
    <x v="24"/>
    <x v="2"/>
    <x v="252"/>
    <x v="1"/>
  </r>
  <r>
    <s v="I101201"/>
    <s v="C296680"/>
    <x v="0"/>
    <x v="50"/>
    <x v="1"/>
    <n v="2"/>
    <x v="25"/>
    <x v="2"/>
    <x v="293"/>
    <x v="6"/>
  </r>
  <r>
    <s v="I101204"/>
    <s v="C147656"/>
    <x v="1"/>
    <x v="41"/>
    <x v="2"/>
    <n v="4"/>
    <x v="21"/>
    <x v="0"/>
    <x v="294"/>
    <x v="2"/>
  </r>
  <r>
    <s v="I101210"/>
    <s v="C316485"/>
    <x v="1"/>
    <x v="28"/>
    <x v="0"/>
    <n v="5"/>
    <x v="0"/>
    <x v="2"/>
    <x v="295"/>
    <x v="4"/>
  </r>
  <r>
    <s v="I101214"/>
    <s v="C229296"/>
    <x v="1"/>
    <x v="42"/>
    <x v="0"/>
    <n v="2"/>
    <x v="2"/>
    <x v="2"/>
    <x v="296"/>
    <x v="1"/>
  </r>
  <r>
    <s v="I101219"/>
    <s v="C296170"/>
    <x v="1"/>
    <x v="12"/>
    <x v="2"/>
    <n v="1"/>
    <x v="37"/>
    <x v="2"/>
    <x v="297"/>
    <x v="5"/>
  </r>
  <r>
    <s v="I101220"/>
    <s v="C322664"/>
    <x v="0"/>
    <x v="3"/>
    <x v="6"/>
    <n v="4"/>
    <x v="32"/>
    <x v="0"/>
    <x v="298"/>
    <x v="7"/>
  </r>
  <r>
    <s v="I101229"/>
    <s v="C256902"/>
    <x v="1"/>
    <x v="4"/>
    <x v="4"/>
    <n v="3"/>
    <x v="6"/>
    <x v="0"/>
    <x v="299"/>
    <x v="5"/>
  </r>
  <r>
    <s v="I101237"/>
    <s v="C239679"/>
    <x v="1"/>
    <x v="0"/>
    <x v="0"/>
    <n v="3"/>
    <x v="12"/>
    <x v="2"/>
    <x v="62"/>
    <x v="2"/>
  </r>
  <r>
    <s v="I101239"/>
    <s v="C362001"/>
    <x v="1"/>
    <x v="11"/>
    <x v="3"/>
    <n v="2"/>
    <x v="35"/>
    <x v="2"/>
    <x v="300"/>
    <x v="3"/>
  </r>
  <r>
    <s v="I101247"/>
    <s v="C178321"/>
    <x v="0"/>
    <x v="2"/>
    <x v="0"/>
    <n v="3"/>
    <x v="12"/>
    <x v="2"/>
    <x v="43"/>
    <x v="2"/>
  </r>
  <r>
    <s v="I101252"/>
    <s v="C998123"/>
    <x v="1"/>
    <x v="26"/>
    <x v="7"/>
    <n v="2"/>
    <x v="11"/>
    <x v="2"/>
    <x v="301"/>
    <x v="6"/>
  </r>
  <r>
    <s v="I101255"/>
    <s v="C164171"/>
    <x v="1"/>
    <x v="43"/>
    <x v="4"/>
    <n v="2"/>
    <x v="20"/>
    <x v="0"/>
    <x v="302"/>
    <x v="8"/>
  </r>
  <r>
    <s v="I101256"/>
    <s v="C129775"/>
    <x v="0"/>
    <x v="8"/>
    <x v="0"/>
    <n v="2"/>
    <x v="2"/>
    <x v="2"/>
    <x v="163"/>
    <x v="2"/>
  </r>
  <r>
    <s v="I101263"/>
    <s v="C268120"/>
    <x v="0"/>
    <x v="30"/>
    <x v="4"/>
    <n v="4"/>
    <x v="7"/>
    <x v="2"/>
    <x v="91"/>
    <x v="2"/>
  </r>
  <r>
    <s v="I101279"/>
    <s v="C237894"/>
    <x v="1"/>
    <x v="23"/>
    <x v="3"/>
    <n v="3"/>
    <x v="39"/>
    <x v="0"/>
    <x v="303"/>
    <x v="7"/>
  </r>
  <r>
    <s v="I101280"/>
    <s v="C663744"/>
    <x v="1"/>
    <x v="9"/>
    <x v="0"/>
    <n v="2"/>
    <x v="2"/>
    <x v="2"/>
    <x v="34"/>
    <x v="2"/>
  </r>
  <r>
    <s v="I101281"/>
    <s v="C177781"/>
    <x v="0"/>
    <x v="8"/>
    <x v="0"/>
    <n v="4"/>
    <x v="23"/>
    <x v="1"/>
    <x v="304"/>
    <x v="0"/>
  </r>
  <r>
    <s v="I101282"/>
    <s v="C317379"/>
    <x v="1"/>
    <x v="8"/>
    <x v="0"/>
    <n v="3"/>
    <x v="12"/>
    <x v="0"/>
    <x v="305"/>
    <x v="1"/>
  </r>
  <r>
    <s v="I101283"/>
    <s v="C294350"/>
    <x v="1"/>
    <x v="23"/>
    <x v="4"/>
    <n v="1"/>
    <x v="14"/>
    <x v="2"/>
    <x v="306"/>
    <x v="3"/>
  </r>
  <r>
    <s v="I101288"/>
    <s v="C476777"/>
    <x v="0"/>
    <x v="21"/>
    <x v="4"/>
    <n v="1"/>
    <x v="14"/>
    <x v="0"/>
    <x v="9"/>
    <x v="5"/>
  </r>
  <r>
    <s v="I101290"/>
    <s v="C208569"/>
    <x v="1"/>
    <x v="24"/>
    <x v="6"/>
    <n v="4"/>
    <x v="32"/>
    <x v="2"/>
    <x v="307"/>
    <x v="2"/>
  </r>
  <r>
    <s v="I101296"/>
    <s v="C132787"/>
    <x v="1"/>
    <x v="35"/>
    <x v="1"/>
    <n v="2"/>
    <x v="25"/>
    <x v="1"/>
    <x v="308"/>
    <x v="9"/>
  </r>
  <r>
    <s v="I101301"/>
    <s v="C211329"/>
    <x v="0"/>
    <x v="9"/>
    <x v="4"/>
    <n v="5"/>
    <x v="24"/>
    <x v="2"/>
    <x v="91"/>
    <x v="5"/>
  </r>
  <r>
    <s v="I101305"/>
    <s v="C131548"/>
    <x v="1"/>
    <x v="43"/>
    <x v="7"/>
    <n v="3"/>
    <x v="29"/>
    <x v="0"/>
    <x v="224"/>
    <x v="6"/>
  </r>
  <r>
    <s v="I101306"/>
    <s v="C162468"/>
    <x v="1"/>
    <x v="41"/>
    <x v="0"/>
    <n v="3"/>
    <x v="12"/>
    <x v="1"/>
    <x v="309"/>
    <x v="5"/>
  </r>
  <r>
    <s v="I101308"/>
    <s v="C551127"/>
    <x v="0"/>
    <x v="5"/>
    <x v="5"/>
    <n v="2"/>
    <x v="18"/>
    <x v="2"/>
    <x v="310"/>
    <x v="2"/>
  </r>
  <r>
    <s v="I101312"/>
    <s v="C261678"/>
    <x v="0"/>
    <x v="8"/>
    <x v="0"/>
    <n v="5"/>
    <x v="0"/>
    <x v="0"/>
    <x v="311"/>
    <x v="2"/>
  </r>
  <r>
    <s v="I101313"/>
    <s v="C463777"/>
    <x v="1"/>
    <x v="34"/>
    <x v="6"/>
    <n v="1"/>
    <x v="38"/>
    <x v="2"/>
    <x v="312"/>
    <x v="5"/>
  </r>
  <r>
    <s v="I101314"/>
    <s v="C995203"/>
    <x v="0"/>
    <x v="28"/>
    <x v="4"/>
    <n v="3"/>
    <x v="6"/>
    <x v="0"/>
    <x v="313"/>
    <x v="5"/>
  </r>
  <r>
    <s v="I101316"/>
    <s v="C100544"/>
    <x v="1"/>
    <x v="42"/>
    <x v="1"/>
    <n v="3"/>
    <x v="8"/>
    <x v="1"/>
    <x v="314"/>
    <x v="3"/>
  </r>
  <r>
    <s v="I101318"/>
    <s v="C156439"/>
    <x v="1"/>
    <x v="18"/>
    <x v="0"/>
    <n v="1"/>
    <x v="5"/>
    <x v="1"/>
    <x v="315"/>
    <x v="3"/>
  </r>
  <r>
    <s v="I101320"/>
    <s v="C264902"/>
    <x v="0"/>
    <x v="5"/>
    <x v="2"/>
    <n v="3"/>
    <x v="3"/>
    <x v="0"/>
    <x v="141"/>
    <x v="2"/>
  </r>
  <r>
    <s v="I101325"/>
    <s v="C101956"/>
    <x v="1"/>
    <x v="18"/>
    <x v="6"/>
    <n v="1"/>
    <x v="38"/>
    <x v="0"/>
    <x v="43"/>
    <x v="2"/>
  </r>
  <r>
    <s v="I101328"/>
    <s v="C468550"/>
    <x v="0"/>
    <x v="12"/>
    <x v="0"/>
    <n v="2"/>
    <x v="2"/>
    <x v="0"/>
    <x v="9"/>
    <x v="1"/>
  </r>
  <r>
    <s v="I101339"/>
    <s v="C162091"/>
    <x v="1"/>
    <x v="50"/>
    <x v="0"/>
    <n v="4"/>
    <x v="23"/>
    <x v="2"/>
    <x v="316"/>
    <x v="6"/>
  </r>
  <r>
    <s v="I101343"/>
    <s v="C180911"/>
    <x v="1"/>
    <x v="8"/>
    <x v="7"/>
    <n v="4"/>
    <x v="16"/>
    <x v="1"/>
    <x v="317"/>
    <x v="1"/>
  </r>
  <r>
    <s v="I101344"/>
    <s v="C107378"/>
    <x v="0"/>
    <x v="47"/>
    <x v="5"/>
    <n v="4"/>
    <x v="19"/>
    <x v="2"/>
    <x v="262"/>
    <x v="5"/>
  </r>
  <r>
    <s v="I101347"/>
    <s v="C280063"/>
    <x v="1"/>
    <x v="38"/>
    <x v="7"/>
    <n v="2"/>
    <x v="11"/>
    <x v="2"/>
    <x v="200"/>
    <x v="5"/>
  </r>
  <r>
    <s v="I101348"/>
    <s v="C126235"/>
    <x v="1"/>
    <x v="3"/>
    <x v="0"/>
    <n v="4"/>
    <x v="23"/>
    <x v="2"/>
    <x v="318"/>
    <x v="2"/>
  </r>
  <r>
    <s v="I101351"/>
    <s v="C726291"/>
    <x v="1"/>
    <x v="12"/>
    <x v="1"/>
    <n v="4"/>
    <x v="30"/>
    <x v="0"/>
    <x v="319"/>
    <x v="1"/>
  </r>
  <r>
    <s v="I101352"/>
    <s v="C548721"/>
    <x v="1"/>
    <x v="46"/>
    <x v="1"/>
    <n v="2"/>
    <x v="25"/>
    <x v="0"/>
    <x v="320"/>
    <x v="7"/>
  </r>
  <r>
    <s v="I101353"/>
    <s v="C246402"/>
    <x v="1"/>
    <x v="29"/>
    <x v="1"/>
    <n v="2"/>
    <x v="25"/>
    <x v="1"/>
    <x v="321"/>
    <x v="9"/>
  </r>
  <r>
    <s v="I101354"/>
    <s v="C235189"/>
    <x v="1"/>
    <x v="0"/>
    <x v="1"/>
    <n v="2"/>
    <x v="25"/>
    <x v="1"/>
    <x v="322"/>
    <x v="0"/>
  </r>
  <r>
    <s v="I101356"/>
    <s v="C227436"/>
    <x v="0"/>
    <x v="25"/>
    <x v="1"/>
    <n v="1"/>
    <x v="28"/>
    <x v="0"/>
    <x v="323"/>
    <x v="3"/>
  </r>
  <r>
    <s v="I101359"/>
    <s v="C269676"/>
    <x v="0"/>
    <x v="41"/>
    <x v="5"/>
    <n v="3"/>
    <x v="27"/>
    <x v="0"/>
    <x v="324"/>
    <x v="7"/>
  </r>
  <r>
    <s v="I101360"/>
    <s v="C540352"/>
    <x v="1"/>
    <x v="9"/>
    <x v="5"/>
    <n v="5"/>
    <x v="22"/>
    <x v="2"/>
    <x v="188"/>
    <x v="2"/>
  </r>
  <r>
    <s v="I101361"/>
    <s v="C184579"/>
    <x v="0"/>
    <x v="9"/>
    <x v="0"/>
    <n v="4"/>
    <x v="23"/>
    <x v="0"/>
    <x v="325"/>
    <x v="9"/>
  </r>
  <r>
    <s v="I101363"/>
    <s v="C182070"/>
    <x v="0"/>
    <x v="5"/>
    <x v="0"/>
    <n v="2"/>
    <x v="2"/>
    <x v="2"/>
    <x v="326"/>
    <x v="3"/>
  </r>
  <r>
    <s v="I101366"/>
    <s v="C927671"/>
    <x v="1"/>
    <x v="48"/>
    <x v="0"/>
    <n v="2"/>
    <x v="2"/>
    <x v="2"/>
    <x v="7"/>
    <x v="5"/>
  </r>
  <r>
    <s v="I101368"/>
    <s v="C236364"/>
    <x v="0"/>
    <x v="19"/>
    <x v="2"/>
    <n v="4"/>
    <x v="21"/>
    <x v="2"/>
    <x v="327"/>
    <x v="9"/>
  </r>
  <r>
    <s v="I101370"/>
    <s v="C313925"/>
    <x v="1"/>
    <x v="40"/>
    <x v="7"/>
    <n v="5"/>
    <x v="33"/>
    <x v="2"/>
    <x v="328"/>
    <x v="5"/>
  </r>
  <r>
    <s v="I101372"/>
    <s v="C180019"/>
    <x v="1"/>
    <x v="39"/>
    <x v="7"/>
    <n v="5"/>
    <x v="33"/>
    <x v="2"/>
    <x v="167"/>
    <x v="6"/>
  </r>
  <r>
    <s v="I101378"/>
    <s v="C241757"/>
    <x v="1"/>
    <x v="48"/>
    <x v="2"/>
    <n v="3"/>
    <x v="3"/>
    <x v="0"/>
    <x v="329"/>
    <x v="3"/>
  </r>
  <r>
    <s v="I101379"/>
    <s v="C275478"/>
    <x v="1"/>
    <x v="45"/>
    <x v="0"/>
    <n v="1"/>
    <x v="5"/>
    <x v="0"/>
    <x v="330"/>
    <x v="5"/>
  </r>
  <r>
    <s v="I101383"/>
    <s v="C151482"/>
    <x v="1"/>
    <x v="51"/>
    <x v="1"/>
    <n v="5"/>
    <x v="1"/>
    <x v="2"/>
    <x v="39"/>
    <x v="3"/>
  </r>
  <r>
    <s v="I101390"/>
    <s v="C314514"/>
    <x v="1"/>
    <x v="2"/>
    <x v="1"/>
    <n v="3"/>
    <x v="8"/>
    <x v="0"/>
    <x v="331"/>
    <x v="2"/>
  </r>
  <r>
    <s v="I101393"/>
    <s v="C109321"/>
    <x v="1"/>
    <x v="1"/>
    <x v="4"/>
    <n v="3"/>
    <x v="6"/>
    <x v="1"/>
    <x v="332"/>
    <x v="5"/>
  </r>
  <r>
    <s v="I101394"/>
    <s v="C321439"/>
    <x v="1"/>
    <x v="29"/>
    <x v="2"/>
    <n v="1"/>
    <x v="37"/>
    <x v="0"/>
    <x v="333"/>
    <x v="7"/>
  </r>
  <r>
    <s v="I101398"/>
    <s v="C152504"/>
    <x v="1"/>
    <x v="18"/>
    <x v="1"/>
    <n v="2"/>
    <x v="25"/>
    <x v="2"/>
    <x v="179"/>
    <x v="2"/>
  </r>
  <r>
    <s v="I101407"/>
    <s v="C323409"/>
    <x v="1"/>
    <x v="33"/>
    <x v="0"/>
    <n v="5"/>
    <x v="0"/>
    <x v="0"/>
    <x v="35"/>
    <x v="1"/>
  </r>
  <r>
    <s v="I101409"/>
    <s v="C431191"/>
    <x v="1"/>
    <x v="10"/>
    <x v="0"/>
    <n v="3"/>
    <x v="12"/>
    <x v="1"/>
    <x v="334"/>
    <x v="5"/>
  </r>
  <r>
    <s v="I101410"/>
    <s v="C177708"/>
    <x v="1"/>
    <x v="7"/>
    <x v="0"/>
    <n v="3"/>
    <x v="12"/>
    <x v="0"/>
    <x v="335"/>
    <x v="9"/>
  </r>
  <r>
    <s v="I101414"/>
    <s v="C104129"/>
    <x v="1"/>
    <x v="28"/>
    <x v="0"/>
    <n v="4"/>
    <x v="23"/>
    <x v="0"/>
    <x v="336"/>
    <x v="3"/>
  </r>
  <r>
    <s v="I101418"/>
    <s v="C127683"/>
    <x v="1"/>
    <x v="8"/>
    <x v="0"/>
    <n v="3"/>
    <x v="12"/>
    <x v="2"/>
    <x v="337"/>
    <x v="0"/>
  </r>
  <r>
    <s v="I101419"/>
    <s v="C502529"/>
    <x v="0"/>
    <x v="47"/>
    <x v="7"/>
    <n v="2"/>
    <x v="11"/>
    <x v="2"/>
    <x v="296"/>
    <x v="9"/>
  </r>
  <r>
    <s v="I101423"/>
    <s v="C666388"/>
    <x v="0"/>
    <x v="12"/>
    <x v="2"/>
    <n v="3"/>
    <x v="3"/>
    <x v="0"/>
    <x v="155"/>
    <x v="1"/>
  </r>
  <r>
    <s v="I101426"/>
    <s v="C262766"/>
    <x v="1"/>
    <x v="3"/>
    <x v="1"/>
    <n v="3"/>
    <x v="8"/>
    <x v="0"/>
    <x v="338"/>
    <x v="5"/>
  </r>
  <r>
    <s v="I101428"/>
    <s v="C197332"/>
    <x v="1"/>
    <x v="10"/>
    <x v="0"/>
    <n v="5"/>
    <x v="0"/>
    <x v="1"/>
    <x v="339"/>
    <x v="2"/>
  </r>
  <r>
    <s v="I101429"/>
    <s v="C148693"/>
    <x v="1"/>
    <x v="8"/>
    <x v="2"/>
    <n v="4"/>
    <x v="21"/>
    <x v="2"/>
    <x v="23"/>
    <x v="2"/>
  </r>
  <r>
    <s v="I101433"/>
    <s v="C208860"/>
    <x v="0"/>
    <x v="42"/>
    <x v="4"/>
    <n v="3"/>
    <x v="6"/>
    <x v="2"/>
    <x v="340"/>
    <x v="2"/>
  </r>
  <r>
    <s v="I101434"/>
    <s v="C310631"/>
    <x v="0"/>
    <x v="13"/>
    <x v="2"/>
    <n v="5"/>
    <x v="15"/>
    <x v="0"/>
    <x v="341"/>
    <x v="2"/>
  </r>
  <r>
    <s v="I101435"/>
    <s v="C245633"/>
    <x v="1"/>
    <x v="51"/>
    <x v="7"/>
    <n v="2"/>
    <x v="11"/>
    <x v="2"/>
    <x v="342"/>
    <x v="7"/>
  </r>
  <r>
    <s v="I101442"/>
    <s v="C837574"/>
    <x v="1"/>
    <x v="51"/>
    <x v="1"/>
    <n v="4"/>
    <x v="30"/>
    <x v="2"/>
    <x v="343"/>
    <x v="2"/>
  </r>
  <r>
    <s v="I101444"/>
    <s v="C335486"/>
    <x v="1"/>
    <x v="50"/>
    <x v="6"/>
    <n v="5"/>
    <x v="26"/>
    <x v="1"/>
    <x v="344"/>
    <x v="0"/>
  </r>
  <r>
    <s v="I101445"/>
    <s v="C171342"/>
    <x v="1"/>
    <x v="5"/>
    <x v="1"/>
    <n v="4"/>
    <x v="30"/>
    <x v="2"/>
    <x v="196"/>
    <x v="5"/>
  </r>
  <r>
    <s v="I101449"/>
    <s v="C220137"/>
    <x v="0"/>
    <x v="32"/>
    <x v="1"/>
    <n v="4"/>
    <x v="30"/>
    <x v="2"/>
    <x v="345"/>
    <x v="3"/>
  </r>
  <r>
    <s v="I101452"/>
    <s v="C231594"/>
    <x v="0"/>
    <x v="22"/>
    <x v="0"/>
    <n v="2"/>
    <x v="2"/>
    <x v="2"/>
    <x v="346"/>
    <x v="0"/>
  </r>
  <r>
    <s v="I101453"/>
    <s v="C666613"/>
    <x v="1"/>
    <x v="0"/>
    <x v="1"/>
    <n v="1"/>
    <x v="28"/>
    <x v="1"/>
    <x v="347"/>
    <x v="5"/>
  </r>
  <r>
    <s v="I101454"/>
    <s v="C118691"/>
    <x v="1"/>
    <x v="49"/>
    <x v="0"/>
    <n v="3"/>
    <x v="12"/>
    <x v="0"/>
    <x v="97"/>
    <x v="9"/>
  </r>
  <r>
    <s v="I101455"/>
    <s v="C154531"/>
    <x v="0"/>
    <x v="30"/>
    <x v="3"/>
    <n v="3"/>
    <x v="39"/>
    <x v="0"/>
    <x v="214"/>
    <x v="5"/>
  </r>
  <r>
    <s v="I101456"/>
    <s v="C283434"/>
    <x v="0"/>
    <x v="21"/>
    <x v="3"/>
    <n v="4"/>
    <x v="4"/>
    <x v="2"/>
    <x v="348"/>
    <x v="5"/>
  </r>
  <r>
    <s v="I101458"/>
    <s v="C113888"/>
    <x v="1"/>
    <x v="2"/>
    <x v="0"/>
    <n v="1"/>
    <x v="5"/>
    <x v="0"/>
    <x v="349"/>
    <x v="3"/>
  </r>
  <r>
    <s v="I101460"/>
    <s v="C247762"/>
    <x v="1"/>
    <x v="22"/>
    <x v="0"/>
    <n v="5"/>
    <x v="0"/>
    <x v="0"/>
    <x v="350"/>
    <x v="4"/>
  </r>
  <r>
    <s v="I101465"/>
    <s v="C250819"/>
    <x v="1"/>
    <x v="26"/>
    <x v="0"/>
    <n v="2"/>
    <x v="2"/>
    <x v="2"/>
    <x v="125"/>
    <x v="3"/>
  </r>
  <r>
    <s v="I101466"/>
    <s v="C314331"/>
    <x v="1"/>
    <x v="21"/>
    <x v="0"/>
    <n v="2"/>
    <x v="2"/>
    <x v="0"/>
    <x v="351"/>
    <x v="0"/>
  </r>
  <r>
    <s v="I101467"/>
    <s v="C155383"/>
    <x v="1"/>
    <x v="47"/>
    <x v="7"/>
    <n v="4"/>
    <x v="16"/>
    <x v="0"/>
    <x v="295"/>
    <x v="7"/>
  </r>
  <r>
    <s v="I101472"/>
    <s v="C216194"/>
    <x v="1"/>
    <x v="22"/>
    <x v="0"/>
    <n v="4"/>
    <x v="23"/>
    <x v="0"/>
    <x v="130"/>
    <x v="3"/>
  </r>
  <r>
    <s v="I101475"/>
    <s v="C204569"/>
    <x v="1"/>
    <x v="47"/>
    <x v="6"/>
    <n v="3"/>
    <x v="10"/>
    <x v="2"/>
    <x v="100"/>
    <x v="5"/>
  </r>
  <r>
    <s v="I101476"/>
    <s v="C295108"/>
    <x v="1"/>
    <x v="40"/>
    <x v="7"/>
    <n v="2"/>
    <x v="11"/>
    <x v="0"/>
    <x v="352"/>
    <x v="9"/>
  </r>
  <r>
    <s v="I101480"/>
    <s v="C145217"/>
    <x v="1"/>
    <x v="51"/>
    <x v="2"/>
    <n v="1"/>
    <x v="37"/>
    <x v="2"/>
    <x v="353"/>
    <x v="3"/>
  </r>
  <r>
    <s v="I101483"/>
    <s v="C670088"/>
    <x v="1"/>
    <x v="47"/>
    <x v="2"/>
    <n v="2"/>
    <x v="36"/>
    <x v="0"/>
    <x v="145"/>
    <x v="1"/>
  </r>
  <r>
    <s v="I101489"/>
    <s v="C287411"/>
    <x v="0"/>
    <x v="6"/>
    <x v="7"/>
    <n v="1"/>
    <x v="34"/>
    <x v="2"/>
    <x v="354"/>
    <x v="4"/>
  </r>
  <r>
    <s v="I101498"/>
    <s v="C431849"/>
    <x v="1"/>
    <x v="12"/>
    <x v="0"/>
    <n v="2"/>
    <x v="2"/>
    <x v="1"/>
    <x v="355"/>
    <x v="2"/>
  </r>
  <r>
    <s v="I101499"/>
    <s v="C208394"/>
    <x v="0"/>
    <x v="12"/>
    <x v="0"/>
    <n v="4"/>
    <x v="23"/>
    <x v="0"/>
    <x v="356"/>
    <x v="5"/>
  </r>
  <r>
    <s v="I101509"/>
    <s v="C416542"/>
    <x v="1"/>
    <x v="23"/>
    <x v="4"/>
    <n v="2"/>
    <x v="20"/>
    <x v="0"/>
    <x v="357"/>
    <x v="9"/>
  </r>
  <r>
    <s v="I101511"/>
    <s v="C286261"/>
    <x v="0"/>
    <x v="38"/>
    <x v="4"/>
    <n v="4"/>
    <x v="7"/>
    <x v="2"/>
    <x v="278"/>
    <x v="5"/>
  </r>
  <r>
    <s v="I101512"/>
    <s v="C657278"/>
    <x v="1"/>
    <x v="31"/>
    <x v="0"/>
    <n v="4"/>
    <x v="23"/>
    <x v="0"/>
    <x v="177"/>
    <x v="5"/>
  </r>
  <r>
    <s v="I101518"/>
    <s v="C107937"/>
    <x v="1"/>
    <x v="27"/>
    <x v="7"/>
    <n v="4"/>
    <x v="16"/>
    <x v="0"/>
    <x v="193"/>
    <x v="2"/>
  </r>
  <r>
    <s v="I101520"/>
    <s v="C260507"/>
    <x v="1"/>
    <x v="33"/>
    <x v="0"/>
    <n v="1"/>
    <x v="5"/>
    <x v="1"/>
    <x v="310"/>
    <x v="5"/>
  </r>
  <r>
    <s v="I101521"/>
    <s v="C234258"/>
    <x v="0"/>
    <x v="47"/>
    <x v="0"/>
    <n v="5"/>
    <x v="0"/>
    <x v="1"/>
    <x v="358"/>
    <x v="6"/>
  </r>
  <r>
    <s v="I101525"/>
    <s v="C616099"/>
    <x v="1"/>
    <x v="30"/>
    <x v="0"/>
    <n v="3"/>
    <x v="12"/>
    <x v="0"/>
    <x v="328"/>
    <x v="4"/>
  </r>
  <r>
    <s v="I101526"/>
    <s v="C332894"/>
    <x v="1"/>
    <x v="29"/>
    <x v="0"/>
    <n v="5"/>
    <x v="0"/>
    <x v="0"/>
    <x v="359"/>
    <x v="6"/>
  </r>
  <r>
    <s v="I101528"/>
    <s v="C149902"/>
    <x v="1"/>
    <x v="19"/>
    <x v="3"/>
    <n v="5"/>
    <x v="13"/>
    <x v="0"/>
    <x v="104"/>
    <x v="4"/>
  </r>
  <r>
    <s v="I101529"/>
    <s v="C203227"/>
    <x v="1"/>
    <x v="28"/>
    <x v="7"/>
    <n v="5"/>
    <x v="33"/>
    <x v="1"/>
    <x v="360"/>
    <x v="3"/>
  </r>
  <r>
    <s v="I101532"/>
    <s v="C128002"/>
    <x v="0"/>
    <x v="6"/>
    <x v="7"/>
    <n v="3"/>
    <x v="29"/>
    <x v="0"/>
    <x v="361"/>
    <x v="8"/>
  </r>
  <r>
    <s v="I101535"/>
    <s v="C219503"/>
    <x v="1"/>
    <x v="9"/>
    <x v="1"/>
    <n v="4"/>
    <x v="30"/>
    <x v="2"/>
    <x v="362"/>
    <x v="9"/>
  </r>
  <r>
    <s v="I101536"/>
    <s v="C323102"/>
    <x v="1"/>
    <x v="43"/>
    <x v="7"/>
    <n v="2"/>
    <x v="11"/>
    <x v="2"/>
    <x v="363"/>
    <x v="0"/>
  </r>
  <r>
    <s v="I101537"/>
    <s v="C168070"/>
    <x v="1"/>
    <x v="46"/>
    <x v="6"/>
    <n v="1"/>
    <x v="38"/>
    <x v="2"/>
    <x v="161"/>
    <x v="8"/>
  </r>
  <r>
    <s v="I101541"/>
    <s v="C210572"/>
    <x v="1"/>
    <x v="38"/>
    <x v="0"/>
    <n v="3"/>
    <x v="12"/>
    <x v="1"/>
    <x v="364"/>
    <x v="9"/>
  </r>
  <r>
    <s v="I101544"/>
    <s v="C208879"/>
    <x v="1"/>
    <x v="23"/>
    <x v="1"/>
    <n v="2"/>
    <x v="25"/>
    <x v="2"/>
    <x v="81"/>
    <x v="3"/>
  </r>
  <r>
    <s v="I101546"/>
    <s v="C121708"/>
    <x v="1"/>
    <x v="22"/>
    <x v="5"/>
    <n v="2"/>
    <x v="18"/>
    <x v="2"/>
    <x v="199"/>
    <x v="3"/>
  </r>
  <r>
    <s v="I101549"/>
    <s v="C311614"/>
    <x v="1"/>
    <x v="22"/>
    <x v="7"/>
    <n v="3"/>
    <x v="29"/>
    <x v="1"/>
    <x v="365"/>
    <x v="4"/>
  </r>
  <r>
    <s v="I101551"/>
    <s v="C164448"/>
    <x v="1"/>
    <x v="22"/>
    <x v="0"/>
    <n v="2"/>
    <x v="2"/>
    <x v="1"/>
    <x v="366"/>
    <x v="3"/>
  </r>
  <r>
    <s v="I101554"/>
    <s v="C273482"/>
    <x v="1"/>
    <x v="35"/>
    <x v="0"/>
    <n v="2"/>
    <x v="2"/>
    <x v="0"/>
    <x v="279"/>
    <x v="0"/>
  </r>
  <r>
    <s v="I101555"/>
    <s v="C758873"/>
    <x v="1"/>
    <x v="11"/>
    <x v="1"/>
    <n v="5"/>
    <x v="1"/>
    <x v="1"/>
    <x v="367"/>
    <x v="5"/>
  </r>
  <r>
    <s v="I101569"/>
    <s v="C148240"/>
    <x v="0"/>
    <x v="10"/>
    <x v="7"/>
    <n v="2"/>
    <x v="11"/>
    <x v="2"/>
    <x v="368"/>
    <x v="0"/>
  </r>
  <r>
    <s v="I101572"/>
    <s v="C210353"/>
    <x v="1"/>
    <x v="8"/>
    <x v="0"/>
    <n v="4"/>
    <x v="23"/>
    <x v="0"/>
    <x v="369"/>
    <x v="7"/>
  </r>
  <r>
    <s v="I101573"/>
    <s v="C150669"/>
    <x v="1"/>
    <x v="36"/>
    <x v="1"/>
    <n v="4"/>
    <x v="30"/>
    <x v="0"/>
    <x v="370"/>
    <x v="8"/>
  </r>
  <r>
    <s v="I101574"/>
    <s v="C178897"/>
    <x v="1"/>
    <x v="33"/>
    <x v="4"/>
    <n v="2"/>
    <x v="20"/>
    <x v="2"/>
    <x v="371"/>
    <x v="5"/>
  </r>
  <r>
    <s v="I101576"/>
    <s v="C262719"/>
    <x v="0"/>
    <x v="38"/>
    <x v="0"/>
    <n v="1"/>
    <x v="5"/>
    <x v="1"/>
    <x v="336"/>
    <x v="5"/>
  </r>
  <r>
    <s v="I101578"/>
    <s v="C302346"/>
    <x v="1"/>
    <x v="45"/>
    <x v="2"/>
    <n v="3"/>
    <x v="3"/>
    <x v="0"/>
    <x v="372"/>
    <x v="3"/>
  </r>
  <r>
    <s v="I101580"/>
    <s v="C266174"/>
    <x v="0"/>
    <x v="48"/>
    <x v="0"/>
    <n v="4"/>
    <x v="23"/>
    <x v="1"/>
    <x v="373"/>
    <x v="5"/>
  </r>
  <r>
    <s v="I101585"/>
    <s v="C157226"/>
    <x v="1"/>
    <x v="0"/>
    <x v="2"/>
    <n v="3"/>
    <x v="3"/>
    <x v="2"/>
    <x v="374"/>
    <x v="2"/>
  </r>
  <r>
    <s v="I101587"/>
    <s v="C434876"/>
    <x v="1"/>
    <x v="49"/>
    <x v="3"/>
    <n v="5"/>
    <x v="13"/>
    <x v="0"/>
    <x v="350"/>
    <x v="7"/>
  </r>
  <r>
    <s v="I101588"/>
    <s v="C769285"/>
    <x v="1"/>
    <x v="7"/>
    <x v="0"/>
    <n v="3"/>
    <x v="12"/>
    <x v="0"/>
    <x v="375"/>
    <x v="5"/>
  </r>
  <r>
    <s v="I101592"/>
    <s v="C228966"/>
    <x v="1"/>
    <x v="47"/>
    <x v="2"/>
    <n v="1"/>
    <x v="37"/>
    <x v="2"/>
    <x v="376"/>
    <x v="5"/>
  </r>
  <r>
    <s v="I101594"/>
    <s v="C117752"/>
    <x v="1"/>
    <x v="8"/>
    <x v="5"/>
    <n v="3"/>
    <x v="27"/>
    <x v="0"/>
    <x v="377"/>
    <x v="8"/>
  </r>
  <r>
    <s v="I101596"/>
    <s v="C309263"/>
    <x v="1"/>
    <x v="31"/>
    <x v="2"/>
    <n v="5"/>
    <x v="15"/>
    <x v="0"/>
    <x v="355"/>
    <x v="5"/>
  </r>
  <r>
    <s v="I101598"/>
    <s v="C338372"/>
    <x v="1"/>
    <x v="40"/>
    <x v="1"/>
    <n v="2"/>
    <x v="25"/>
    <x v="2"/>
    <x v="177"/>
    <x v="3"/>
  </r>
  <r>
    <s v="I101603"/>
    <s v="C309591"/>
    <x v="0"/>
    <x v="3"/>
    <x v="7"/>
    <n v="2"/>
    <x v="11"/>
    <x v="0"/>
    <x v="378"/>
    <x v="5"/>
  </r>
  <r>
    <s v="I101605"/>
    <s v="C756859"/>
    <x v="1"/>
    <x v="13"/>
    <x v="0"/>
    <n v="2"/>
    <x v="2"/>
    <x v="0"/>
    <x v="379"/>
    <x v="2"/>
  </r>
  <r>
    <s v="I101606"/>
    <s v="C279630"/>
    <x v="0"/>
    <x v="11"/>
    <x v="0"/>
    <n v="1"/>
    <x v="5"/>
    <x v="0"/>
    <x v="380"/>
    <x v="2"/>
  </r>
  <r>
    <s v="I101612"/>
    <s v="C185174"/>
    <x v="0"/>
    <x v="9"/>
    <x v="7"/>
    <n v="3"/>
    <x v="29"/>
    <x v="2"/>
    <x v="381"/>
    <x v="3"/>
  </r>
  <r>
    <s v="I101618"/>
    <s v="C203219"/>
    <x v="0"/>
    <x v="29"/>
    <x v="0"/>
    <n v="1"/>
    <x v="5"/>
    <x v="0"/>
    <x v="382"/>
    <x v="5"/>
  </r>
  <r>
    <s v="I101620"/>
    <s v="C104200"/>
    <x v="1"/>
    <x v="30"/>
    <x v="0"/>
    <n v="4"/>
    <x v="23"/>
    <x v="1"/>
    <x v="336"/>
    <x v="5"/>
  </r>
  <r>
    <s v="I101621"/>
    <s v="C325188"/>
    <x v="1"/>
    <x v="5"/>
    <x v="6"/>
    <n v="4"/>
    <x v="32"/>
    <x v="0"/>
    <x v="383"/>
    <x v="5"/>
  </r>
  <r>
    <s v="I101624"/>
    <s v="C115743"/>
    <x v="0"/>
    <x v="34"/>
    <x v="1"/>
    <n v="3"/>
    <x v="8"/>
    <x v="0"/>
    <x v="346"/>
    <x v="5"/>
  </r>
  <r>
    <s v="I101627"/>
    <s v="C144374"/>
    <x v="0"/>
    <x v="40"/>
    <x v="4"/>
    <n v="2"/>
    <x v="20"/>
    <x v="1"/>
    <x v="251"/>
    <x v="4"/>
  </r>
  <r>
    <s v="I101629"/>
    <s v="C102585"/>
    <x v="0"/>
    <x v="35"/>
    <x v="1"/>
    <n v="3"/>
    <x v="8"/>
    <x v="0"/>
    <x v="384"/>
    <x v="2"/>
  </r>
  <r>
    <s v="I101634"/>
    <s v="C318714"/>
    <x v="1"/>
    <x v="4"/>
    <x v="0"/>
    <n v="1"/>
    <x v="5"/>
    <x v="1"/>
    <x v="228"/>
    <x v="3"/>
  </r>
  <r>
    <s v="I101635"/>
    <s v="C695700"/>
    <x v="1"/>
    <x v="5"/>
    <x v="7"/>
    <n v="5"/>
    <x v="33"/>
    <x v="0"/>
    <x v="385"/>
    <x v="6"/>
  </r>
  <r>
    <s v="I101638"/>
    <s v="C217867"/>
    <x v="1"/>
    <x v="18"/>
    <x v="3"/>
    <n v="2"/>
    <x v="35"/>
    <x v="0"/>
    <x v="386"/>
    <x v="3"/>
  </r>
  <r>
    <s v="I101641"/>
    <s v="C483550"/>
    <x v="0"/>
    <x v="27"/>
    <x v="7"/>
    <n v="3"/>
    <x v="29"/>
    <x v="2"/>
    <x v="387"/>
    <x v="8"/>
  </r>
  <r>
    <s v="I101642"/>
    <s v="C296856"/>
    <x v="1"/>
    <x v="9"/>
    <x v="0"/>
    <n v="4"/>
    <x v="23"/>
    <x v="1"/>
    <x v="328"/>
    <x v="2"/>
  </r>
  <r>
    <s v="I101645"/>
    <s v="C683241"/>
    <x v="1"/>
    <x v="7"/>
    <x v="0"/>
    <n v="4"/>
    <x v="23"/>
    <x v="2"/>
    <x v="334"/>
    <x v="3"/>
  </r>
  <r>
    <s v="I101649"/>
    <s v="C801987"/>
    <x v="0"/>
    <x v="35"/>
    <x v="3"/>
    <n v="3"/>
    <x v="39"/>
    <x v="0"/>
    <x v="284"/>
    <x v="7"/>
  </r>
  <r>
    <s v="I101653"/>
    <s v="C185129"/>
    <x v="1"/>
    <x v="17"/>
    <x v="6"/>
    <n v="2"/>
    <x v="17"/>
    <x v="0"/>
    <x v="223"/>
    <x v="5"/>
  </r>
  <r>
    <s v="I101658"/>
    <s v="C254846"/>
    <x v="1"/>
    <x v="7"/>
    <x v="1"/>
    <n v="1"/>
    <x v="28"/>
    <x v="2"/>
    <x v="142"/>
    <x v="2"/>
  </r>
  <r>
    <s v="I101659"/>
    <s v="C197249"/>
    <x v="1"/>
    <x v="3"/>
    <x v="5"/>
    <n v="5"/>
    <x v="22"/>
    <x v="0"/>
    <x v="388"/>
    <x v="1"/>
  </r>
  <r>
    <s v="I101661"/>
    <s v="C156543"/>
    <x v="1"/>
    <x v="22"/>
    <x v="0"/>
    <n v="4"/>
    <x v="23"/>
    <x v="0"/>
    <x v="294"/>
    <x v="0"/>
  </r>
  <r>
    <s v="I101667"/>
    <s v="C142998"/>
    <x v="1"/>
    <x v="35"/>
    <x v="6"/>
    <n v="5"/>
    <x v="26"/>
    <x v="2"/>
    <x v="179"/>
    <x v="3"/>
  </r>
  <r>
    <s v="I101669"/>
    <s v="C308898"/>
    <x v="0"/>
    <x v="33"/>
    <x v="7"/>
    <n v="3"/>
    <x v="29"/>
    <x v="2"/>
    <x v="107"/>
    <x v="1"/>
  </r>
  <r>
    <s v="I101670"/>
    <s v="C584201"/>
    <x v="1"/>
    <x v="37"/>
    <x v="0"/>
    <n v="1"/>
    <x v="5"/>
    <x v="0"/>
    <x v="389"/>
    <x v="7"/>
  </r>
  <r>
    <s v="I101672"/>
    <s v="C976493"/>
    <x v="0"/>
    <x v="10"/>
    <x v="2"/>
    <n v="2"/>
    <x v="36"/>
    <x v="2"/>
    <x v="390"/>
    <x v="3"/>
  </r>
  <r>
    <s v="I101674"/>
    <s v="C284838"/>
    <x v="0"/>
    <x v="39"/>
    <x v="1"/>
    <n v="1"/>
    <x v="28"/>
    <x v="2"/>
    <x v="391"/>
    <x v="1"/>
  </r>
  <r>
    <s v="I101675"/>
    <s v="C302289"/>
    <x v="1"/>
    <x v="28"/>
    <x v="1"/>
    <n v="3"/>
    <x v="8"/>
    <x v="1"/>
    <x v="298"/>
    <x v="3"/>
  </r>
  <r>
    <s v="I101676"/>
    <s v="C179567"/>
    <x v="1"/>
    <x v="9"/>
    <x v="0"/>
    <n v="2"/>
    <x v="2"/>
    <x v="0"/>
    <x v="392"/>
    <x v="5"/>
  </r>
  <r>
    <s v="I101677"/>
    <s v="C518156"/>
    <x v="1"/>
    <x v="39"/>
    <x v="2"/>
    <n v="5"/>
    <x v="15"/>
    <x v="2"/>
    <x v="390"/>
    <x v="8"/>
  </r>
  <r>
    <s v="I101682"/>
    <s v="C201671"/>
    <x v="1"/>
    <x v="15"/>
    <x v="0"/>
    <n v="4"/>
    <x v="23"/>
    <x v="0"/>
    <x v="363"/>
    <x v="8"/>
  </r>
  <r>
    <s v="I101684"/>
    <s v="C280909"/>
    <x v="1"/>
    <x v="11"/>
    <x v="6"/>
    <n v="5"/>
    <x v="26"/>
    <x v="2"/>
    <x v="393"/>
    <x v="2"/>
  </r>
  <r>
    <s v="I101686"/>
    <s v="C520399"/>
    <x v="1"/>
    <x v="13"/>
    <x v="0"/>
    <n v="3"/>
    <x v="12"/>
    <x v="1"/>
    <x v="394"/>
    <x v="9"/>
  </r>
  <r>
    <s v="I101691"/>
    <s v="C322262"/>
    <x v="0"/>
    <x v="3"/>
    <x v="6"/>
    <n v="4"/>
    <x v="32"/>
    <x v="0"/>
    <x v="192"/>
    <x v="2"/>
  </r>
  <r>
    <s v="I101700"/>
    <s v="C156564"/>
    <x v="0"/>
    <x v="6"/>
    <x v="1"/>
    <n v="2"/>
    <x v="25"/>
    <x v="2"/>
    <x v="395"/>
    <x v="9"/>
  </r>
  <r>
    <s v="I101703"/>
    <s v="C113813"/>
    <x v="1"/>
    <x v="0"/>
    <x v="1"/>
    <n v="1"/>
    <x v="28"/>
    <x v="2"/>
    <x v="396"/>
    <x v="2"/>
  </r>
  <r>
    <s v="I101704"/>
    <s v="C568729"/>
    <x v="1"/>
    <x v="39"/>
    <x v="7"/>
    <n v="3"/>
    <x v="29"/>
    <x v="2"/>
    <x v="82"/>
    <x v="5"/>
  </r>
  <r>
    <s v="I101708"/>
    <s v="C103055"/>
    <x v="0"/>
    <x v="1"/>
    <x v="4"/>
    <n v="1"/>
    <x v="14"/>
    <x v="0"/>
    <x v="173"/>
    <x v="3"/>
  </r>
  <r>
    <s v="I101709"/>
    <s v="C800815"/>
    <x v="1"/>
    <x v="28"/>
    <x v="0"/>
    <n v="5"/>
    <x v="0"/>
    <x v="1"/>
    <x v="242"/>
    <x v="2"/>
  </r>
  <r>
    <s v="I101711"/>
    <s v="C354279"/>
    <x v="0"/>
    <x v="23"/>
    <x v="4"/>
    <n v="3"/>
    <x v="6"/>
    <x v="2"/>
    <x v="1"/>
    <x v="7"/>
  </r>
  <r>
    <s v="I101714"/>
    <s v="C273113"/>
    <x v="1"/>
    <x v="32"/>
    <x v="2"/>
    <n v="3"/>
    <x v="3"/>
    <x v="0"/>
    <x v="397"/>
    <x v="2"/>
  </r>
  <r>
    <s v="I101716"/>
    <s v="C254712"/>
    <x v="1"/>
    <x v="4"/>
    <x v="0"/>
    <n v="2"/>
    <x v="2"/>
    <x v="1"/>
    <x v="398"/>
    <x v="9"/>
  </r>
  <r>
    <s v="I101717"/>
    <s v="C143132"/>
    <x v="0"/>
    <x v="41"/>
    <x v="1"/>
    <n v="5"/>
    <x v="1"/>
    <x v="0"/>
    <x v="394"/>
    <x v="5"/>
  </r>
  <r>
    <s v="I101720"/>
    <s v="C105307"/>
    <x v="0"/>
    <x v="3"/>
    <x v="1"/>
    <n v="1"/>
    <x v="28"/>
    <x v="0"/>
    <x v="399"/>
    <x v="3"/>
  </r>
  <r>
    <s v="I101724"/>
    <s v="C331264"/>
    <x v="1"/>
    <x v="19"/>
    <x v="4"/>
    <n v="5"/>
    <x v="24"/>
    <x v="0"/>
    <x v="400"/>
    <x v="3"/>
  </r>
  <r>
    <s v="I101727"/>
    <s v="C145580"/>
    <x v="0"/>
    <x v="3"/>
    <x v="0"/>
    <n v="2"/>
    <x v="2"/>
    <x v="0"/>
    <x v="401"/>
    <x v="8"/>
  </r>
  <r>
    <s v="I101728"/>
    <s v="C183537"/>
    <x v="1"/>
    <x v="23"/>
    <x v="1"/>
    <n v="2"/>
    <x v="25"/>
    <x v="0"/>
    <x v="402"/>
    <x v="2"/>
  </r>
  <r>
    <s v="I101730"/>
    <s v="C378627"/>
    <x v="1"/>
    <x v="35"/>
    <x v="7"/>
    <n v="5"/>
    <x v="33"/>
    <x v="2"/>
    <x v="153"/>
    <x v="5"/>
  </r>
  <r>
    <s v="I101731"/>
    <s v="C125296"/>
    <x v="1"/>
    <x v="35"/>
    <x v="2"/>
    <n v="3"/>
    <x v="3"/>
    <x v="0"/>
    <x v="403"/>
    <x v="2"/>
  </r>
  <r>
    <s v="I101734"/>
    <s v="C150574"/>
    <x v="1"/>
    <x v="46"/>
    <x v="5"/>
    <n v="2"/>
    <x v="18"/>
    <x v="2"/>
    <x v="331"/>
    <x v="7"/>
  </r>
  <r>
    <s v="I101739"/>
    <s v="C152510"/>
    <x v="0"/>
    <x v="20"/>
    <x v="0"/>
    <n v="1"/>
    <x v="5"/>
    <x v="1"/>
    <x v="275"/>
    <x v="5"/>
  </r>
  <r>
    <s v="I101740"/>
    <s v="C136633"/>
    <x v="0"/>
    <x v="39"/>
    <x v="7"/>
    <n v="1"/>
    <x v="34"/>
    <x v="1"/>
    <x v="284"/>
    <x v="9"/>
  </r>
  <r>
    <s v="I101741"/>
    <s v="C319933"/>
    <x v="0"/>
    <x v="17"/>
    <x v="5"/>
    <n v="3"/>
    <x v="27"/>
    <x v="2"/>
    <x v="404"/>
    <x v="2"/>
  </r>
  <r>
    <s v="I101742"/>
    <s v="C123907"/>
    <x v="1"/>
    <x v="37"/>
    <x v="7"/>
    <n v="5"/>
    <x v="33"/>
    <x v="2"/>
    <x v="360"/>
    <x v="2"/>
  </r>
  <r>
    <s v="I101743"/>
    <s v="C158928"/>
    <x v="0"/>
    <x v="23"/>
    <x v="1"/>
    <n v="3"/>
    <x v="8"/>
    <x v="0"/>
    <x v="216"/>
    <x v="3"/>
  </r>
  <r>
    <s v="I101745"/>
    <s v="C105559"/>
    <x v="0"/>
    <x v="41"/>
    <x v="5"/>
    <n v="5"/>
    <x v="22"/>
    <x v="0"/>
    <x v="405"/>
    <x v="8"/>
  </r>
  <r>
    <s v="I101752"/>
    <s v="C116715"/>
    <x v="1"/>
    <x v="22"/>
    <x v="6"/>
    <n v="4"/>
    <x v="32"/>
    <x v="0"/>
    <x v="36"/>
    <x v="7"/>
  </r>
  <r>
    <s v="I101753"/>
    <s v="C336142"/>
    <x v="1"/>
    <x v="51"/>
    <x v="1"/>
    <n v="5"/>
    <x v="1"/>
    <x v="2"/>
    <x v="406"/>
    <x v="9"/>
  </r>
  <r>
    <s v="I101754"/>
    <s v="C125307"/>
    <x v="1"/>
    <x v="49"/>
    <x v="0"/>
    <n v="4"/>
    <x v="23"/>
    <x v="1"/>
    <x v="120"/>
    <x v="5"/>
  </r>
  <r>
    <s v="I101755"/>
    <s v="C333796"/>
    <x v="1"/>
    <x v="49"/>
    <x v="0"/>
    <n v="3"/>
    <x v="12"/>
    <x v="1"/>
    <x v="151"/>
    <x v="3"/>
  </r>
  <r>
    <s v="I101765"/>
    <s v="C280567"/>
    <x v="0"/>
    <x v="35"/>
    <x v="0"/>
    <n v="3"/>
    <x v="12"/>
    <x v="2"/>
    <x v="169"/>
    <x v="5"/>
  </r>
  <r>
    <s v="I101767"/>
    <s v="C181289"/>
    <x v="1"/>
    <x v="13"/>
    <x v="4"/>
    <n v="4"/>
    <x v="7"/>
    <x v="2"/>
    <x v="407"/>
    <x v="7"/>
  </r>
  <r>
    <s v="I101768"/>
    <s v="C249684"/>
    <x v="1"/>
    <x v="6"/>
    <x v="1"/>
    <n v="3"/>
    <x v="8"/>
    <x v="2"/>
    <x v="94"/>
    <x v="2"/>
  </r>
  <r>
    <s v="I101769"/>
    <s v="C306686"/>
    <x v="0"/>
    <x v="45"/>
    <x v="4"/>
    <n v="5"/>
    <x v="24"/>
    <x v="1"/>
    <x v="50"/>
    <x v="1"/>
  </r>
  <r>
    <s v="I101775"/>
    <s v="C867251"/>
    <x v="1"/>
    <x v="14"/>
    <x v="0"/>
    <n v="2"/>
    <x v="2"/>
    <x v="2"/>
    <x v="408"/>
    <x v="2"/>
  </r>
  <r>
    <s v="I101779"/>
    <s v="C114592"/>
    <x v="1"/>
    <x v="34"/>
    <x v="2"/>
    <n v="3"/>
    <x v="3"/>
    <x v="1"/>
    <x v="354"/>
    <x v="2"/>
  </r>
  <r>
    <s v="I101782"/>
    <s v="C221270"/>
    <x v="1"/>
    <x v="46"/>
    <x v="1"/>
    <n v="5"/>
    <x v="1"/>
    <x v="2"/>
    <x v="409"/>
    <x v="2"/>
  </r>
  <r>
    <s v="I101785"/>
    <s v="C279161"/>
    <x v="1"/>
    <x v="24"/>
    <x v="5"/>
    <n v="5"/>
    <x v="22"/>
    <x v="1"/>
    <x v="410"/>
    <x v="5"/>
  </r>
  <r>
    <s v="I101790"/>
    <s v="C310170"/>
    <x v="1"/>
    <x v="17"/>
    <x v="2"/>
    <n v="1"/>
    <x v="37"/>
    <x v="2"/>
    <x v="411"/>
    <x v="5"/>
  </r>
  <r>
    <s v="I101795"/>
    <s v="C207950"/>
    <x v="0"/>
    <x v="9"/>
    <x v="0"/>
    <n v="4"/>
    <x v="23"/>
    <x v="1"/>
    <x v="379"/>
    <x v="3"/>
  </r>
  <r>
    <s v="I101799"/>
    <s v="C789602"/>
    <x v="1"/>
    <x v="40"/>
    <x v="3"/>
    <n v="3"/>
    <x v="39"/>
    <x v="2"/>
    <x v="4"/>
    <x v="1"/>
  </r>
  <r>
    <s v="I101806"/>
    <s v="C322425"/>
    <x v="1"/>
    <x v="41"/>
    <x v="0"/>
    <n v="1"/>
    <x v="5"/>
    <x v="2"/>
    <x v="412"/>
    <x v="2"/>
  </r>
  <r>
    <s v="I101809"/>
    <s v="C148190"/>
    <x v="1"/>
    <x v="10"/>
    <x v="0"/>
    <n v="5"/>
    <x v="0"/>
    <x v="0"/>
    <x v="413"/>
    <x v="2"/>
  </r>
  <r>
    <s v="I101810"/>
    <s v="C259949"/>
    <x v="1"/>
    <x v="30"/>
    <x v="7"/>
    <n v="4"/>
    <x v="16"/>
    <x v="2"/>
    <x v="115"/>
    <x v="0"/>
  </r>
  <r>
    <s v="I101819"/>
    <s v="C787263"/>
    <x v="1"/>
    <x v="40"/>
    <x v="7"/>
    <n v="3"/>
    <x v="29"/>
    <x v="0"/>
    <x v="248"/>
    <x v="7"/>
  </r>
  <r>
    <s v="I101820"/>
    <s v="C324317"/>
    <x v="0"/>
    <x v="30"/>
    <x v="0"/>
    <n v="1"/>
    <x v="5"/>
    <x v="0"/>
    <x v="414"/>
    <x v="0"/>
  </r>
  <r>
    <s v="I101822"/>
    <s v="C178709"/>
    <x v="1"/>
    <x v="49"/>
    <x v="4"/>
    <n v="4"/>
    <x v="7"/>
    <x v="1"/>
    <x v="295"/>
    <x v="9"/>
  </r>
  <r>
    <s v="I101823"/>
    <s v="C121785"/>
    <x v="0"/>
    <x v="14"/>
    <x v="0"/>
    <n v="4"/>
    <x v="23"/>
    <x v="2"/>
    <x v="409"/>
    <x v="0"/>
  </r>
  <r>
    <s v="I101827"/>
    <s v="C150375"/>
    <x v="1"/>
    <x v="18"/>
    <x v="7"/>
    <n v="3"/>
    <x v="29"/>
    <x v="0"/>
    <x v="415"/>
    <x v="5"/>
  </r>
  <r>
    <s v="I101829"/>
    <s v="C207614"/>
    <x v="1"/>
    <x v="12"/>
    <x v="3"/>
    <n v="2"/>
    <x v="35"/>
    <x v="2"/>
    <x v="416"/>
    <x v="9"/>
  </r>
  <r>
    <s v="I101832"/>
    <s v="C261194"/>
    <x v="1"/>
    <x v="42"/>
    <x v="1"/>
    <n v="3"/>
    <x v="8"/>
    <x v="2"/>
    <x v="283"/>
    <x v="5"/>
  </r>
  <r>
    <s v="I101834"/>
    <s v="C407525"/>
    <x v="1"/>
    <x v="30"/>
    <x v="7"/>
    <n v="5"/>
    <x v="33"/>
    <x v="0"/>
    <x v="417"/>
    <x v="9"/>
  </r>
  <r>
    <s v="I101837"/>
    <s v="C288430"/>
    <x v="1"/>
    <x v="32"/>
    <x v="5"/>
    <n v="4"/>
    <x v="19"/>
    <x v="2"/>
    <x v="418"/>
    <x v="3"/>
  </r>
  <r>
    <s v="I101840"/>
    <s v="C128251"/>
    <x v="0"/>
    <x v="45"/>
    <x v="0"/>
    <n v="3"/>
    <x v="12"/>
    <x v="2"/>
    <x v="358"/>
    <x v="5"/>
  </r>
  <r>
    <s v="I101842"/>
    <s v="C158131"/>
    <x v="1"/>
    <x v="34"/>
    <x v="5"/>
    <n v="1"/>
    <x v="9"/>
    <x v="2"/>
    <x v="419"/>
    <x v="7"/>
  </r>
  <r>
    <s v="I101843"/>
    <s v="C300621"/>
    <x v="1"/>
    <x v="45"/>
    <x v="0"/>
    <n v="5"/>
    <x v="0"/>
    <x v="0"/>
    <x v="191"/>
    <x v="5"/>
  </r>
  <r>
    <s v="I101852"/>
    <s v="C224985"/>
    <x v="0"/>
    <x v="33"/>
    <x v="0"/>
    <n v="2"/>
    <x v="2"/>
    <x v="1"/>
    <x v="372"/>
    <x v="2"/>
  </r>
  <r>
    <s v="I101854"/>
    <s v="C190002"/>
    <x v="0"/>
    <x v="35"/>
    <x v="5"/>
    <n v="1"/>
    <x v="9"/>
    <x v="0"/>
    <x v="420"/>
    <x v="2"/>
  </r>
  <r>
    <s v="I101855"/>
    <s v="C120734"/>
    <x v="1"/>
    <x v="11"/>
    <x v="2"/>
    <n v="4"/>
    <x v="21"/>
    <x v="0"/>
    <x v="199"/>
    <x v="6"/>
  </r>
  <r>
    <s v="I101857"/>
    <s v="C227245"/>
    <x v="1"/>
    <x v="37"/>
    <x v="6"/>
    <n v="2"/>
    <x v="17"/>
    <x v="0"/>
    <x v="421"/>
    <x v="7"/>
  </r>
  <r>
    <s v="I101862"/>
    <s v="C352919"/>
    <x v="1"/>
    <x v="29"/>
    <x v="5"/>
    <n v="2"/>
    <x v="18"/>
    <x v="2"/>
    <x v="119"/>
    <x v="1"/>
  </r>
  <r>
    <s v="I101865"/>
    <s v="C248634"/>
    <x v="1"/>
    <x v="48"/>
    <x v="0"/>
    <n v="1"/>
    <x v="5"/>
    <x v="0"/>
    <x v="353"/>
    <x v="2"/>
  </r>
  <r>
    <s v="I101869"/>
    <s v="C578801"/>
    <x v="0"/>
    <x v="18"/>
    <x v="3"/>
    <n v="2"/>
    <x v="35"/>
    <x v="0"/>
    <x v="379"/>
    <x v="2"/>
  </r>
  <r>
    <s v="I101870"/>
    <s v="C350587"/>
    <x v="1"/>
    <x v="17"/>
    <x v="5"/>
    <n v="3"/>
    <x v="27"/>
    <x v="0"/>
    <x v="159"/>
    <x v="7"/>
  </r>
  <r>
    <s v="I101871"/>
    <s v="C233682"/>
    <x v="1"/>
    <x v="46"/>
    <x v="1"/>
    <n v="4"/>
    <x v="30"/>
    <x v="0"/>
    <x v="422"/>
    <x v="5"/>
  </r>
  <r>
    <s v="I101873"/>
    <s v="C844870"/>
    <x v="1"/>
    <x v="3"/>
    <x v="0"/>
    <n v="2"/>
    <x v="2"/>
    <x v="2"/>
    <x v="423"/>
    <x v="0"/>
  </r>
  <r>
    <s v="I101879"/>
    <s v="C419320"/>
    <x v="0"/>
    <x v="12"/>
    <x v="1"/>
    <n v="2"/>
    <x v="25"/>
    <x v="2"/>
    <x v="1"/>
    <x v="5"/>
  </r>
  <r>
    <s v="I101882"/>
    <s v="C225381"/>
    <x v="0"/>
    <x v="25"/>
    <x v="0"/>
    <n v="4"/>
    <x v="23"/>
    <x v="0"/>
    <x v="424"/>
    <x v="4"/>
  </r>
  <r>
    <s v="I101885"/>
    <s v="C199456"/>
    <x v="0"/>
    <x v="36"/>
    <x v="2"/>
    <n v="4"/>
    <x v="21"/>
    <x v="2"/>
    <x v="425"/>
    <x v="6"/>
  </r>
  <r>
    <s v="I101887"/>
    <s v="C169919"/>
    <x v="0"/>
    <x v="33"/>
    <x v="6"/>
    <n v="4"/>
    <x v="32"/>
    <x v="0"/>
    <x v="241"/>
    <x v="3"/>
  </r>
  <r>
    <s v="I101888"/>
    <s v="C216076"/>
    <x v="0"/>
    <x v="30"/>
    <x v="0"/>
    <n v="5"/>
    <x v="0"/>
    <x v="0"/>
    <x v="426"/>
    <x v="7"/>
  </r>
  <r>
    <s v="I101889"/>
    <s v="C121577"/>
    <x v="1"/>
    <x v="12"/>
    <x v="5"/>
    <n v="3"/>
    <x v="27"/>
    <x v="0"/>
    <x v="427"/>
    <x v="7"/>
  </r>
  <r>
    <s v="I101891"/>
    <s v="C180405"/>
    <x v="1"/>
    <x v="10"/>
    <x v="1"/>
    <n v="2"/>
    <x v="25"/>
    <x v="1"/>
    <x v="428"/>
    <x v="8"/>
  </r>
  <r>
    <s v="I101893"/>
    <s v="C586871"/>
    <x v="1"/>
    <x v="21"/>
    <x v="4"/>
    <n v="1"/>
    <x v="14"/>
    <x v="2"/>
    <x v="141"/>
    <x v="1"/>
  </r>
  <r>
    <s v="I101896"/>
    <s v="C113243"/>
    <x v="0"/>
    <x v="50"/>
    <x v="4"/>
    <n v="2"/>
    <x v="20"/>
    <x v="2"/>
    <x v="22"/>
    <x v="5"/>
  </r>
  <r>
    <s v="I101901"/>
    <s v="C241557"/>
    <x v="0"/>
    <x v="49"/>
    <x v="4"/>
    <n v="4"/>
    <x v="7"/>
    <x v="0"/>
    <x v="419"/>
    <x v="9"/>
  </r>
  <r>
    <s v="I101902"/>
    <s v="C195949"/>
    <x v="1"/>
    <x v="14"/>
    <x v="0"/>
    <n v="5"/>
    <x v="0"/>
    <x v="2"/>
    <x v="405"/>
    <x v="2"/>
  </r>
  <r>
    <s v="I101904"/>
    <s v="C106038"/>
    <x v="1"/>
    <x v="26"/>
    <x v="6"/>
    <n v="1"/>
    <x v="38"/>
    <x v="2"/>
    <x v="426"/>
    <x v="5"/>
  </r>
  <r>
    <s v="I101905"/>
    <s v="C147666"/>
    <x v="1"/>
    <x v="21"/>
    <x v="1"/>
    <n v="3"/>
    <x v="8"/>
    <x v="0"/>
    <x v="429"/>
    <x v="5"/>
  </r>
  <r>
    <s v="I101906"/>
    <s v="C306258"/>
    <x v="0"/>
    <x v="0"/>
    <x v="5"/>
    <n v="2"/>
    <x v="18"/>
    <x v="2"/>
    <x v="78"/>
    <x v="3"/>
  </r>
  <r>
    <s v="I101910"/>
    <s v="C304301"/>
    <x v="0"/>
    <x v="35"/>
    <x v="6"/>
    <n v="4"/>
    <x v="32"/>
    <x v="0"/>
    <x v="399"/>
    <x v="1"/>
  </r>
  <r>
    <s v="I101912"/>
    <s v="C499795"/>
    <x v="1"/>
    <x v="15"/>
    <x v="1"/>
    <n v="5"/>
    <x v="1"/>
    <x v="1"/>
    <x v="430"/>
    <x v="4"/>
  </r>
  <r>
    <s v="I101915"/>
    <s v="C112646"/>
    <x v="0"/>
    <x v="41"/>
    <x v="0"/>
    <n v="1"/>
    <x v="5"/>
    <x v="2"/>
    <x v="431"/>
    <x v="5"/>
  </r>
  <r>
    <s v="I101919"/>
    <s v="C209103"/>
    <x v="0"/>
    <x v="33"/>
    <x v="0"/>
    <n v="4"/>
    <x v="23"/>
    <x v="2"/>
    <x v="432"/>
    <x v="7"/>
  </r>
  <r>
    <s v="I101920"/>
    <s v="C208660"/>
    <x v="1"/>
    <x v="27"/>
    <x v="4"/>
    <n v="4"/>
    <x v="7"/>
    <x v="1"/>
    <x v="433"/>
    <x v="8"/>
  </r>
  <r>
    <s v="I101921"/>
    <s v="C243839"/>
    <x v="1"/>
    <x v="9"/>
    <x v="2"/>
    <n v="3"/>
    <x v="3"/>
    <x v="2"/>
    <x v="434"/>
    <x v="0"/>
  </r>
  <r>
    <s v="I101925"/>
    <s v="C329689"/>
    <x v="0"/>
    <x v="43"/>
    <x v="3"/>
    <n v="3"/>
    <x v="39"/>
    <x v="1"/>
    <x v="155"/>
    <x v="2"/>
  </r>
  <r>
    <s v="I101927"/>
    <s v="C156809"/>
    <x v="0"/>
    <x v="49"/>
    <x v="2"/>
    <n v="2"/>
    <x v="36"/>
    <x v="2"/>
    <x v="435"/>
    <x v="2"/>
  </r>
  <r>
    <s v="I101934"/>
    <s v="C153128"/>
    <x v="0"/>
    <x v="35"/>
    <x v="1"/>
    <n v="3"/>
    <x v="8"/>
    <x v="1"/>
    <x v="20"/>
    <x v="0"/>
  </r>
  <r>
    <s v="I101940"/>
    <s v="C283119"/>
    <x v="1"/>
    <x v="5"/>
    <x v="6"/>
    <n v="5"/>
    <x v="26"/>
    <x v="0"/>
    <x v="283"/>
    <x v="9"/>
  </r>
  <r>
    <s v="I101953"/>
    <s v="C316666"/>
    <x v="0"/>
    <x v="12"/>
    <x v="3"/>
    <n v="3"/>
    <x v="39"/>
    <x v="0"/>
    <x v="436"/>
    <x v="3"/>
  </r>
  <r>
    <s v="I101967"/>
    <s v="C218507"/>
    <x v="1"/>
    <x v="46"/>
    <x v="4"/>
    <n v="5"/>
    <x v="24"/>
    <x v="0"/>
    <x v="437"/>
    <x v="9"/>
  </r>
  <r>
    <s v="I101968"/>
    <s v="C134978"/>
    <x v="0"/>
    <x v="6"/>
    <x v="0"/>
    <n v="3"/>
    <x v="12"/>
    <x v="2"/>
    <x v="438"/>
    <x v="3"/>
  </r>
  <r>
    <s v="I101972"/>
    <s v="C182834"/>
    <x v="1"/>
    <x v="36"/>
    <x v="0"/>
    <n v="5"/>
    <x v="0"/>
    <x v="2"/>
    <x v="439"/>
    <x v="3"/>
  </r>
  <r>
    <s v="I101974"/>
    <s v="C184510"/>
    <x v="0"/>
    <x v="36"/>
    <x v="7"/>
    <n v="5"/>
    <x v="33"/>
    <x v="2"/>
    <x v="440"/>
    <x v="2"/>
  </r>
  <r>
    <s v="I101975"/>
    <s v="C208782"/>
    <x v="1"/>
    <x v="39"/>
    <x v="0"/>
    <n v="2"/>
    <x v="2"/>
    <x v="0"/>
    <x v="441"/>
    <x v="5"/>
  </r>
  <r>
    <s v="I101978"/>
    <s v="C188650"/>
    <x v="1"/>
    <x v="41"/>
    <x v="0"/>
    <n v="5"/>
    <x v="0"/>
    <x v="1"/>
    <x v="442"/>
    <x v="2"/>
  </r>
  <r>
    <s v="I101979"/>
    <s v="C109876"/>
    <x v="0"/>
    <x v="11"/>
    <x v="0"/>
    <n v="2"/>
    <x v="2"/>
    <x v="0"/>
    <x v="443"/>
    <x v="2"/>
  </r>
  <r>
    <s v="I101982"/>
    <s v="C116333"/>
    <x v="1"/>
    <x v="42"/>
    <x v="3"/>
    <n v="5"/>
    <x v="13"/>
    <x v="0"/>
    <x v="444"/>
    <x v="0"/>
  </r>
  <r>
    <s v="I101983"/>
    <s v="C889640"/>
    <x v="0"/>
    <x v="36"/>
    <x v="7"/>
    <n v="1"/>
    <x v="34"/>
    <x v="2"/>
    <x v="445"/>
    <x v="4"/>
  </r>
  <r>
    <s v="I101984"/>
    <s v="C117381"/>
    <x v="0"/>
    <x v="22"/>
    <x v="0"/>
    <n v="2"/>
    <x v="2"/>
    <x v="2"/>
    <x v="446"/>
    <x v="3"/>
  </r>
  <r>
    <s v="I101989"/>
    <s v="C269810"/>
    <x v="0"/>
    <x v="43"/>
    <x v="0"/>
    <n v="4"/>
    <x v="23"/>
    <x v="2"/>
    <x v="447"/>
    <x v="4"/>
  </r>
  <r>
    <s v="I101993"/>
    <s v="C158626"/>
    <x v="1"/>
    <x v="12"/>
    <x v="5"/>
    <n v="1"/>
    <x v="9"/>
    <x v="0"/>
    <x v="448"/>
    <x v="4"/>
  </r>
  <r>
    <s v="I101996"/>
    <s v="C157238"/>
    <x v="1"/>
    <x v="33"/>
    <x v="1"/>
    <n v="3"/>
    <x v="8"/>
    <x v="0"/>
    <x v="435"/>
    <x v="5"/>
  </r>
  <r>
    <s v="I102001"/>
    <s v="C167373"/>
    <x v="1"/>
    <x v="47"/>
    <x v="4"/>
    <n v="5"/>
    <x v="24"/>
    <x v="1"/>
    <x v="204"/>
    <x v="5"/>
  </r>
  <r>
    <s v="I102006"/>
    <s v="C133645"/>
    <x v="1"/>
    <x v="14"/>
    <x v="0"/>
    <n v="2"/>
    <x v="2"/>
    <x v="1"/>
    <x v="449"/>
    <x v="5"/>
  </r>
  <r>
    <s v="I102008"/>
    <s v="C171022"/>
    <x v="1"/>
    <x v="48"/>
    <x v="0"/>
    <n v="5"/>
    <x v="0"/>
    <x v="1"/>
    <x v="245"/>
    <x v="6"/>
  </r>
  <r>
    <s v="I102009"/>
    <s v="C146739"/>
    <x v="1"/>
    <x v="24"/>
    <x v="5"/>
    <n v="1"/>
    <x v="9"/>
    <x v="0"/>
    <x v="450"/>
    <x v="6"/>
  </r>
  <r>
    <s v="I102014"/>
    <s v="C158673"/>
    <x v="0"/>
    <x v="27"/>
    <x v="4"/>
    <n v="1"/>
    <x v="14"/>
    <x v="0"/>
    <x v="451"/>
    <x v="7"/>
  </r>
  <r>
    <s v="I102015"/>
    <s v="C127328"/>
    <x v="1"/>
    <x v="5"/>
    <x v="0"/>
    <n v="3"/>
    <x v="12"/>
    <x v="0"/>
    <x v="452"/>
    <x v="1"/>
  </r>
  <r>
    <s v="I102020"/>
    <s v="C244182"/>
    <x v="0"/>
    <x v="28"/>
    <x v="4"/>
    <n v="4"/>
    <x v="7"/>
    <x v="1"/>
    <x v="340"/>
    <x v="5"/>
  </r>
  <r>
    <s v="I102021"/>
    <s v="C178086"/>
    <x v="1"/>
    <x v="31"/>
    <x v="7"/>
    <n v="4"/>
    <x v="16"/>
    <x v="0"/>
    <x v="453"/>
    <x v="6"/>
  </r>
  <r>
    <s v="I102024"/>
    <s v="C132062"/>
    <x v="1"/>
    <x v="4"/>
    <x v="6"/>
    <n v="5"/>
    <x v="26"/>
    <x v="2"/>
    <x v="334"/>
    <x v="5"/>
  </r>
  <r>
    <s v="I102025"/>
    <s v="C119370"/>
    <x v="0"/>
    <x v="50"/>
    <x v="2"/>
    <n v="3"/>
    <x v="3"/>
    <x v="2"/>
    <x v="179"/>
    <x v="6"/>
  </r>
  <r>
    <s v="I102031"/>
    <s v="C208014"/>
    <x v="1"/>
    <x v="31"/>
    <x v="7"/>
    <n v="1"/>
    <x v="34"/>
    <x v="0"/>
    <x v="272"/>
    <x v="5"/>
  </r>
  <r>
    <s v="I102037"/>
    <s v="C523688"/>
    <x v="1"/>
    <x v="38"/>
    <x v="7"/>
    <n v="1"/>
    <x v="34"/>
    <x v="0"/>
    <x v="454"/>
    <x v="3"/>
  </r>
  <r>
    <s v="I102038"/>
    <s v="C227579"/>
    <x v="0"/>
    <x v="38"/>
    <x v="4"/>
    <n v="1"/>
    <x v="14"/>
    <x v="0"/>
    <x v="114"/>
    <x v="8"/>
  </r>
  <r>
    <s v="I102040"/>
    <s v="C184203"/>
    <x v="0"/>
    <x v="9"/>
    <x v="7"/>
    <n v="4"/>
    <x v="16"/>
    <x v="0"/>
    <x v="365"/>
    <x v="9"/>
  </r>
  <r>
    <s v="I102041"/>
    <s v="C846159"/>
    <x v="0"/>
    <x v="8"/>
    <x v="1"/>
    <n v="3"/>
    <x v="8"/>
    <x v="0"/>
    <x v="455"/>
    <x v="2"/>
  </r>
  <r>
    <s v="I102042"/>
    <s v="C539103"/>
    <x v="0"/>
    <x v="41"/>
    <x v="1"/>
    <n v="3"/>
    <x v="8"/>
    <x v="2"/>
    <x v="279"/>
    <x v="5"/>
  </r>
  <r>
    <s v="I102045"/>
    <s v="C105667"/>
    <x v="0"/>
    <x v="42"/>
    <x v="4"/>
    <n v="3"/>
    <x v="6"/>
    <x v="2"/>
    <x v="456"/>
    <x v="7"/>
  </r>
  <r>
    <s v="I102047"/>
    <s v="C203711"/>
    <x v="0"/>
    <x v="0"/>
    <x v="7"/>
    <n v="3"/>
    <x v="29"/>
    <x v="2"/>
    <x v="457"/>
    <x v="7"/>
  </r>
  <r>
    <s v="I102048"/>
    <s v="C597678"/>
    <x v="0"/>
    <x v="26"/>
    <x v="2"/>
    <n v="1"/>
    <x v="37"/>
    <x v="1"/>
    <x v="458"/>
    <x v="2"/>
  </r>
  <r>
    <s v="I102049"/>
    <s v="C282234"/>
    <x v="1"/>
    <x v="38"/>
    <x v="1"/>
    <n v="4"/>
    <x v="30"/>
    <x v="0"/>
    <x v="427"/>
    <x v="7"/>
  </r>
  <r>
    <s v="I102051"/>
    <s v="C283917"/>
    <x v="0"/>
    <x v="28"/>
    <x v="0"/>
    <n v="2"/>
    <x v="2"/>
    <x v="2"/>
    <x v="282"/>
    <x v="2"/>
  </r>
  <r>
    <s v="I102053"/>
    <s v="C318494"/>
    <x v="1"/>
    <x v="6"/>
    <x v="0"/>
    <n v="2"/>
    <x v="2"/>
    <x v="0"/>
    <x v="459"/>
    <x v="2"/>
  </r>
  <r>
    <s v="I102054"/>
    <s v="C948047"/>
    <x v="1"/>
    <x v="25"/>
    <x v="0"/>
    <n v="1"/>
    <x v="5"/>
    <x v="2"/>
    <x v="460"/>
    <x v="1"/>
  </r>
  <r>
    <s v="I102058"/>
    <s v="C245703"/>
    <x v="1"/>
    <x v="8"/>
    <x v="1"/>
    <n v="1"/>
    <x v="28"/>
    <x v="1"/>
    <x v="259"/>
    <x v="2"/>
  </r>
  <r>
    <s v="I102059"/>
    <s v="C297169"/>
    <x v="1"/>
    <x v="22"/>
    <x v="6"/>
    <n v="3"/>
    <x v="10"/>
    <x v="0"/>
    <x v="101"/>
    <x v="8"/>
  </r>
  <r>
    <s v="I102061"/>
    <s v="C181574"/>
    <x v="0"/>
    <x v="21"/>
    <x v="5"/>
    <n v="5"/>
    <x v="22"/>
    <x v="2"/>
    <x v="228"/>
    <x v="5"/>
  </r>
  <r>
    <s v="I102065"/>
    <s v="C799164"/>
    <x v="1"/>
    <x v="42"/>
    <x v="0"/>
    <n v="2"/>
    <x v="2"/>
    <x v="1"/>
    <x v="357"/>
    <x v="7"/>
  </r>
  <r>
    <s v="I102068"/>
    <s v="C317485"/>
    <x v="1"/>
    <x v="28"/>
    <x v="6"/>
    <n v="1"/>
    <x v="38"/>
    <x v="0"/>
    <x v="461"/>
    <x v="3"/>
  </r>
  <r>
    <s v="I102069"/>
    <s v="C273829"/>
    <x v="1"/>
    <x v="0"/>
    <x v="4"/>
    <n v="2"/>
    <x v="20"/>
    <x v="0"/>
    <x v="462"/>
    <x v="1"/>
  </r>
  <r>
    <s v="I102070"/>
    <s v="C205475"/>
    <x v="0"/>
    <x v="46"/>
    <x v="0"/>
    <n v="4"/>
    <x v="23"/>
    <x v="0"/>
    <x v="463"/>
    <x v="6"/>
  </r>
  <r>
    <s v="I102072"/>
    <s v="C283005"/>
    <x v="1"/>
    <x v="25"/>
    <x v="1"/>
    <n v="5"/>
    <x v="1"/>
    <x v="2"/>
    <x v="246"/>
    <x v="5"/>
  </r>
  <r>
    <s v="I102075"/>
    <s v="C127805"/>
    <x v="1"/>
    <x v="45"/>
    <x v="1"/>
    <n v="1"/>
    <x v="28"/>
    <x v="0"/>
    <x v="177"/>
    <x v="3"/>
  </r>
  <r>
    <s v="I102082"/>
    <s v="C402987"/>
    <x v="1"/>
    <x v="24"/>
    <x v="6"/>
    <n v="5"/>
    <x v="26"/>
    <x v="2"/>
    <x v="293"/>
    <x v="3"/>
  </r>
  <r>
    <s v="I102084"/>
    <s v="C339822"/>
    <x v="0"/>
    <x v="11"/>
    <x v="5"/>
    <n v="2"/>
    <x v="18"/>
    <x v="0"/>
    <x v="464"/>
    <x v="3"/>
  </r>
  <r>
    <s v="I102088"/>
    <s v="C184837"/>
    <x v="0"/>
    <x v="21"/>
    <x v="0"/>
    <n v="3"/>
    <x v="12"/>
    <x v="0"/>
    <x v="465"/>
    <x v="7"/>
  </r>
  <r>
    <s v="I102091"/>
    <s v="C190233"/>
    <x v="1"/>
    <x v="46"/>
    <x v="7"/>
    <n v="3"/>
    <x v="29"/>
    <x v="1"/>
    <x v="466"/>
    <x v="9"/>
  </r>
  <r>
    <s v="I102092"/>
    <s v="C172569"/>
    <x v="1"/>
    <x v="10"/>
    <x v="5"/>
    <n v="5"/>
    <x v="22"/>
    <x v="0"/>
    <x v="467"/>
    <x v="1"/>
  </r>
  <r>
    <s v="I102100"/>
    <s v="C252261"/>
    <x v="1"/>
    <x v="30"/>
    <x v="6"/>
    <n v="1"/>
    <x v="38"/>
    <x v="1"/>
    <x v="216"/>
    <x v="5"/>
  </r>
  <r>
    <s v="I102101"/>
    <s v="C270792"/>
    <x v="1"/>
    <x v="13"/>
    <x v="0"/>
    <n v="5"/>
    <x v="0"/>
    <x v="1"/>
    <x v="349"/>
    <x v="5"/>
  </r>
  <r>
    <s v="I102102"/>
    <s v="C628484"/>
    <x v="0"/>
    <x v="43"/>
    <x v="5"/>
    <n v="2"/>
    <x v="18"/>
    <x v="2"/>
    <x v="468"/>
    <x v="9"/>
  </r>
  <r>
    <s v="I102107"/>
    <s v="C294500"/>
    <x v="0"/>
    <x v="24"/>
    <x v="0"/>
    <n v="5"/>
    <x v="0"/>
    <x v="1"/>
    <x v="272"/>
    <x v="2"/>
  </r>
  <r>
    <s v="I102108"/>
    <s v="C316403"/>
    <x v="1"/>
    <x v="44"/>
    <x v="5"/>
    <n v="4"/>
    <x v="19"/>
    <x v="2"/>
    <x v="238"/>
    <x v="4"/>
  </r>
  <r>
    <s v="I102112"/>
    <s v="C308314"/>
    <x v="0"/>
    <x v="46"/>
    <x v="0"/>
    <n v="3"/>
    <x v="12"/>
    <x v="2"/>
    <x v="469"/>
    <x v="3"/>
  </r>
  <r>
    <s v="I102115"/>
    <s v="C629211"/>
    <x v="0"/>
    <x v="8"/>
    <x v="0"/>
    <n v="5"/>
    <x v="0"/>
    <x v="1"/>
    <x v="371"/>
    <x v="3"/>
  </r>
  <r>
    <s v="I102118"/>
    <s v="C336690"/>
    <x v="1"/>
    <x v="30"/>
    <x v="1"/>
    <n v="3"/>
    <x v="8"/>
    <x v="0"/>
    <x v="392"/>
    <x v="5"/>
  </r>
  <r>
    <s v="I102119"/>
    <s v="C299453"/>
    <x v="1"/>
    <x v="27"/>
    <x v="0"/>
    <n v="1"/>
    <x v="5"/>
    <x v="2"/>
    <x v="291"/>
    <x v="6"/>
  </r>
  <r>
    <s v="I102120"/>
    <s v="C207445"/>
    <x v="1"/>
    <x v="4"/>
    <x v="0"/>
    <n v="1"/>
    <x v="5"/>
    <x v="1"/>
    <x v="442"/>
    <x v="6"/>
  </r>
  <r>
    <s v="I102128"/>
    <s v="C183134"/>
    <x v="0"/>
    <x v="10"/>
    <x v="0"/>
    <n v="4"/>
    <x v="23"/>
    <x v="2"/>
    <x v="342"/>
    <x v="3"/>
  </r>
  <r>
    <s v="I102131"/>
    <s v="C330136"/>
    <x v="1"/>
    <x v="0"/>
    <x v="4"/>
    <n v="1"/>
    <x v="14"/>
    <x v="1"/>
    <x v="141"/>
    <x v="4"/>
  </r>
  <r>
    <s v="I102133"/>
    <s v="C121237"/>
    <x v="1"/>
    <x v="21"/>
    <x v="0"/>
    <n v="1"/>
    <x v="5"/>
    <x v="2"/>
    <x v="470"/>
    <x v="5"/>
  </r>
  <r>
    <s v="I102141"/>
    <s v="C329384"/>
    <x v="0"/>
    <x v="37"/>
    <x v="0"/>
    <n v="1"/>
    <x v="5"/>
    <x v="1"/>
    <x v="214"/>
    <x v="2"/>
  </r>
  <r>
    <s v="I102142"/>
    <s v="C234980"/>
    <x v="1"/>
    <x v="39"/>
    <x v="5"/>
    <n v="2"/>
    <x v="18"/>
    <x v="1"/>
    <x v="133"/>
    <x v="9"/>
  </r>
  <r>
    <s v="I102143"/>
    <s v="C163307"/>
    <x v="1"/>
    <x v="14"/>
    <x v="5"/>
    <n v="3"/>
    <x v="27"/>
    <x v="2"/>
    <x v="165"/>
    <x v="5"/>
  </r>
  <r>
    <s v="I102144"/>
    <s v="C317414"/>
    <x v="1"/>
    <x v="22"/>
    <x v="6"/>
    <n v="4"/>
    <x v="32"/>
    <x v="0"/>
    <x v="49"/>
    <x v="2"/>
  </r>
  <r>
    <s v="I102148"/>
    <s v="C127692"/>
    <x v="1"/>
    <x v="19"/>
    <x v="0"/>
    <n v="4"/>
    <x v="23"/>
    <x v="2"/>
    <x v="471"/>
    <x v="3"/>
  </r>
  <r>
    <s v="I102149"/>
    <s v="C253677"/>
    <x v="1"/>
    <x v="49"/>
    <x v="0"/>
    <n v="4"/>
    <x v="23"/>
    <x v="1"/>
    <x v="472"/>
    <x v="2"/>
  </r>
  <r>
    <s v="I102150"/>
    <s v="C336009"/>
    <x v="0"/>
    <x v="23"/>
    <x v="1"/>
    <n v="3"/>
    <x v="8"/>
    <x v="1"/>
    <x v="473"/>
    <x v="5"/>
  </r>
  <r>
    <s v="I102151"/>
    <s v="C460226"/>
    <x v="1"/>
    <x v="14"/>
    <x v="7"/>
    <n v="2"/>
    <x v="11"/>
    <x v="0"/>
    <x v="388"/>
    <x v="5"/>
  </r>
  <r>
    <s v="I102157"/>
    <s v="C204532"/>
    <x v="0"/>
    <x v="41"/>
    <x v="5"/>
    <n v="1"/>
    <x v="9"/>
    <x v="1"/>
    <x v="474"/>
    <x v="2"/>
  </r>
  <r>
    <s v="I102159"/>
    <s v="C115523"/>
    <x v="1"/>
    <x v="10"/>
    <x v="4"/>
    <n v="2"/>
    <x v="20"/>
    <x v="0"/>
    <x v="475"/>
    <x v="4"/>
  </r>
  <r>
    <s v="I102162"/>
    <s v="C274417"/>
    <x v="1"/>
    <x v="14"/>
    <x v="4"/>
    <n v="3"/>
    <x v="6"/>
    <x v="2"/>
    <x v="476"/>
    <x v="7"/>
  </r>
  <r>
    <s v="I102166"/>
    <s v="C763155"/>
    <x v="0"/>
    <x v="1"/>
    <x v="2"/>
    <n v="1"/>
    <x v="37"/>
    <x v="0"/>
    <x v="294"/>
    <x v="5"/>
  </r>
  <r>
    <s v="I102167"/>
    <s v="C283282"/>
    <x v="1"/>
    <x v="12"/>
    <x v="7"/>
    <n v="4"/>
    <x v="16"/>
    <x v="2"/>
    <x v="319"/>
    <x v="8"/>
  </r>
  <r>
    <s v="I102171"/>
    <s v="C170678"/>
    <x v="1"/>
    <x v="49"/>
    <x v="4"/>
    <n v="4"/>
    <x v="7"/>
    <x v="1"/>
    <x v="471"/>
    <x v="8"/>
  </r>
  <r>
    <s v="I102173"/>
    <s v="C222171"/>
    <x v="1"/>
    <x v="25"/>
    <x v="0"/>
    <n v="3"/>
    <x v="12"/>
    <x v="1"/>
    <x v="202"/>
    <x v="0"/>
  </r>
  <r>
    <s v="I102175"/>
    <s v="C287261"/>
    <x v="1"/>
    <x v="0"/>
    <x v="0"/>
    <n v="2"/>
    <x v="2"/>
    <x v="0"/>
    <x v="242"/>
    <x v="3"/>
  </r>
  <r>
    <s v="I102178"/>
    <s v="C123925"/>
    <x v="1"/>
    <x v="47"/>
    <x v="7"/>
    <n v="2"/>
    <x v="11"/>
    <x v="1"/>
    <x v="41"/>
    <x v="9"/>
  </r>
  <r>
    <s v="I102182"/>
    <s v="C153009"/>
    <x v="0"/>
    <x v="21"/>
    <x v="6"/>
    <n v="4"/>
    <x v="32"/>
    <x v="2"/>
    <x v="217"/>
    <x v="7"/>
  </r>
  <r>
    <s v="I102184"/>
    <s v="C868347"/>
    <x v="1"/>
    <x v="39"/>
    <x v="6"/>
    <n v="5"/>
    <x v="26"/>
    <x v="0"/>
    <x v="129"/>
    <x v="9"/>
  </r>
  <r>
    <s v="I102188"/>
    <s v="C306087"/>
    <x v="1"/>
    <x v="29"/>
    <x v="1"/>
    <n v="3"/>
    <x v="8"/>
    <x v="2"/>
    <x v="477"/>
    <x v="3"/>
  </r>
  <r>
    <s v="I102189"/>
    <s v="C135789"/>
    <x v="0"/>
    <x v="40"/>
    <x v="7"/>
    <n v="1"/>
    <x v="34"/>
    <x v="0"/>
    <x v="179"/>
    <x v="2"/>
  </r>
  <r>
    <s v="I102191"/>
    <s v="C211798"/>
    <x v="0"/>
    <x v="24"/>
    <x v="5"/>
    <n v="4"/>
    <x v="19"/>
    <x v="0"/>
    <x v="478"/>
    <x v="5"/>
  </r>
  <r>
    <s v="I102193"/>
    <s v="C327121"/>
    <x v="1"/>
    <x v="25"/>
    <x v="1"/>
    <n v="4"/>
    <x v="30"/>
    <x v="2"/>
    <x v="479"/>
    <x v="7"/>
  </r>
  <r>
    <s v="I102194"/>
    <s v="C328882"/>
    <x v="1"/>
    <x v="7"/>
    <x v="7"/>
    <n v="4"/>
    <x v="16"/>
    <x v="1"/>
    <x v="480"/>
    <x v="2"/>
  </r>
  <r>
    <s v="I102195"/>
    <s v="C242866"/>
    <x v="1"/>
    <x v="44"/>
    <x v="0"/>
    <n v="1"/>
    <x v="5"/>
    <x v="2"/>
    <x v="481"/>
    <x v="5"/>
  </r>
  <r>
    <s v="I102199"/>
    <s v="C219898"/>
    <x v="0"/>
    <x v="15"/>
    <x v="4"/>
    <n v="1"/>
    <x v="14"/>
    <x v="2"/>
    <x v="482"/>
    <x v="5"/>
  </r>
  <r>
    <s v="I102200"/>
    <s v="C242359"/>
    <x v="1"/>
    <x v="4"/>
    <x v="0"/>
    <n v="2"/>
    <x v="2"/>
    <x v="2"/>
    <x v="45"/>
    <x v="7"/>
  </r>
  <r>
    <s v="I102201"/>
    <s v="C140670"/>
    <x v="1"/>
    <x v="10"/>
    <x v="2"/>
    <n v="1"/>
    <x v="37"/>
    <x v="1"/>
    <x v="239"/>
    <x v="2"/>
  </r>
  <r>
    <s v="I102202"/>
    <s v="C174973"/>
    <x v="1"/>
    <x v="19"/>
    <x v="3"/>
    <n v="4"/>
    <x v="4"/>
    <x v="2"/>
    <x v="483"/>
    <x v="7"/>
  </r>
  <r>
    <s v="I102205"/>
    <s v="C688295"/>
    <x v="0"/>
    <x v="26"/>
    <x v="4"/>
    <n v="2"/>
    <x v="20"/>
    <x v="2"/>
    <x v="0"/>
    <x v="5"/>
  </r>
  <r>
    <s v="I102218"/>
    <s v="C335848"/>
    <x v="1"/>
    <x v="36"/>
    <x v="1"/>
    <n v="1"/>
    <x v="28"/>
    <x v="2"/>
    <x v="484"/>
    <x v="3"/>
  </r>
  <r>
    <s v="I102221"/>
    <s v="C301581"/>
    <x v="1"/>
    <x v="51"/>
    <x v="0"/>
    <n v="4"/>
    <x v="23"/>
    <x v="0"/>
    <x v="485"/>
    <x v="5"/>
  </r>
  <r>
    <s v="I102222"/>
    <s v="C171465"/>
    <x v="1"/>
    <x v="0"/>
    <x v="0"/>
    <n v="5"/>
    <x v="0"/>
    <x v="1"/>
    <x v="486"/>
    <x v="5"/>
  </r>
  <r>
    <s v="I102223"/>
    <s v="C339595"/>
    <x v="1"/>
    <x v="51"/>
    <x v="0"/>
    <n v="3"/>
    <x v="12"/>
    <x v="0"/>
    <x v="287"/>
    <x v="2"/>
  </r>
  <r>
    <s v="I102224"/>
    <s v="C156712"/>
    <x v="0"/>
    <x v="29"/>
    <x v="1"/>
    <n v="3"/>
    <x v="8"/>
    <x v="2"/>
    <x v="487"/>
    <x v="0"/>
  </r>
  <r>
    <s v="I102225"/>
    <s v="C890104"/>
    <x v="1"/>
    <x v="31"/>
    <x v="4"/>
    <n v="4"/>
    <x v="7"/>
    <x v="2"/>
    <x v="488"/>
    <x v="3"/>
  </r>
  <r>
    <s v="I102229"/>
    <s v="C194316"/>
    <x v="0"/>
    <x v="38"/>
    <x v="4"/>
    <n v="4"/>
    <x v="7"/>
    <x v="2"/>
    <x v="489"/>
    <x v="5"/>
  </r>
  <r>
    <s v="I102232"/>
    <s v="C282538"/>
    <x v="1"/>
    <x v="42"/>
    <x v="7"/>
    <n v="2"/>
    <x v="11"/>
    <x v="2"/>
    <x v="490"/>
    <x v="2"/>
  </r>
  <r>
    <s v="I102233"/>
    <s v="C284826"/>
    <x v="1"/>
    <x v="48"/>
    <x v="5"/>
    <n v="5"/>
    <x v="22"/>
    <x v="2"/>
    <x v="406"/>
    <x v="6"/>
  </r>
  <r>
    <s v="I102234"/>
    <s v="C237184"/>
    <x v="0"/>
    <x v="23"/>
    <x v="0"/>
    <n v="2"/>
    <x v="2"/>
    <x v="0"/>
    <x v="200"/>
    <x v="7"/>
  </r>
  <r>
    <s v="I102237"/>
    <s v="C106693"/>
    <x v="1"/>
    <x v="14"/>
    <x v="1"/>
    <n v="2"/>
    <x v="25"/>
    <x v="2"/>
    <x v="430"/>
    <x v="2"/>
  </r>
  <r>
    <s v="I102240"/>
    <s v="C281387"/>
    <x v="0"/>
    <x v="51"/>
    <x v="0"/>
    <n v="4"/>
    <x v="23"/>
    <x v="2"/>
    <x v="409"/>
    <x v="5"/>
  </r>
  <r>
    <s v="I102241"/>
    <s v="C218554"/>
    <x v="0"/>
    <x v="42"/>
    <x v="1"/>
    <n v="3"/>
    <x v="8"/>
    <x v="1"/>
    <x v="445"/>
    <x v="7"/>
  </r>
  <r>
    <s v="I102244"/>
    <s v="C210214"/>
    <x v="0"/>
    <x v="5"/>
    <x v="0"/>
    <n v="5"/>
    <x v="0"/>
    <x v="2"/>
    <x v="209"/>
    <x v="1"/>
  </r>
  <r>
    <s v="I102250"/>
    <s v="C282314"/>
    <x v="1"/>
    <x v="40"/>
    <x v="3"/>
    <n v="1"/>
    <x v="31"/>
    <x v="0"/>
    <x v="159"/>
    <x v="2"/>
  </r>
  <r>
    <s v="I102254"/>
    <s v="C830416"/>
    <x v="0"/>
    <x v="0"/>
    <x v="5"/>
    <n v="1"/>
    <x v="9"/>
    <x v="2"/>
    <x v="491"/>
    <x v="5"/>
  </r>
  <r>
    <s v="I102256"/>
    <s v="C263791"/>
    <x v="0"/>
    <x v="16"/>
    <x v="2"/>
    <n v="3"/>
    <x v="3"/>
    <x v="0"/>
    <x v="324"/>
    <x v="4"/>
  </r>
  <r>
    <s v="I102258"/>
    <s v="C306120"/>
    <x v="1"/>
    <x v="20"/>
    <x v="0"/>
    <n v="1"/>
    <x v="5"/>
    <x v="2"/>
    <x v="492"/>
    <x v="8"/>
  </r>
  <r>
    <s v="I102260"/>
    <s v="C203685"/>
    <x v="0"/>
    <x v="21"/>
    <x v="2"/>
    <n v="2"/>
    <x v="36"/>
    <x v="0"/>
    <x v="440"/>
    <x v="7"/>
  </r>
  <r>
    <s v="I102261"/>
    <s v="C817162"/>
    <x v="1"/>
    <x v="26"/>
    <x v="1"/>
    <n v="4"/>
    <x v="30"/>
    <x v="0"/>
    <x v="263"/>
    <x v="9"/>
  </r>
  <r>
    <s v="I102264"/>
    <s v="C221936"/>
    <x v="1"/>
    <x v="6"/>
    <x v="0"/>
    <n v="2"/>
    <x v="2"/>
    <x v="2"/>
    <x v="320"/>
    <x v="9"/>
  </r>
  <r>
    <s v="I102268"/>
    <s v="C298559"/>
    <x v="1"/>
    <x v="48"/>
    <x v="5"/>
    <n v="4"/>
    <x v="19"/>
    <x v="0"/>
    <x v="287"/>
    <x v="4"/>
  </r>
  <r>
    <s v="I102276"/>
    <s v="C137086"/>
    <x v="1"/>
    <x v="20"/>
    <x v="1"/>
    <n v="2"/>
    <x v="25"/>
    <x v="1"/>
    <x v="493"/>
    <x v="9"/>
  </r>
  <r>
    <s v="I102278"/>
    <s v="C190867"/>
    <x v="0"/>
    <x v="29"/>
    <x v="0"/>
    <n v="2"/>
    <x v="2"/>
    <x v="0"/>
    <x v="494"/>
    <x v="5"/>
  </r>
  <r>
    <s v="I102279"/>
    <s v="C192527"/>
    <x v="0"/>
    <x v="14"/>
    <x v="3"/>
    <n v="3"/>
    <x v="39"/>
    <x v="0"/>
    <x v="186"/>
    <x v="3"/>
  </r>
  <r>
    <s v="I102283"/>
    <s v="C889444"/>
    <x v="0"/>
    <x v="21"/>
    <x v="2"/>
    <n v="2"/>
    <x v="36"/>
    <x v="2"/>
    <x v="28"/>
    <x v="3"/>
  </r>
  <r>
    <s v="I102284"/>
    <s v="C378236"/>
    <x v="1"/>
    <x v="7"/>
    <x v="0"/>
    <n v="5"/>
    <x v="0"/>
    <x v="0"/>
    <x v="484"/>
    <x v="3"/>
  </r>
  <r>
    <s v="I102286"/>
    <s v="C303985"/>
    <x v="1"/>
    <x v="8"/>
    <x v="6"/>
    <n v="3"/>
    <x v="10"/>
    <x v="0"/>
    <x v="495"/>
    <x v="0"/>
  </r>
  <r>
    <s v="I102287"/>
    <s v="C844764"/>
    <x v="0"/>
    <x v="25"/>
    <x v="0"/>
    <n v="1"/>
    <x v="5"/>
    <x v="0"/>
    <x v="400"/>
    <x v="7"/>
  </r>
  <r>
    <s v="I102296"/>
    <s v="C161661"/>
    <x v="0"/>
    <x v="34"/>
    <x v="1"/>
    <n v="4"/>
    <x v="30"/>
    <x v="0"/>
    <x v="496"/>
    <x v="8"/>
  </r>
  <r>
    <s v="I102300"/>
    <s v="C244793"/>
    <x v="0"/>
    <x v="15"/>
    <x v="7"/>
    <n v="3"/>
    <x v="29"/>
    <x v="0"/>
    <x v="382"/>
    <x v="4"/>
  </r>
  <r>
    <s v="I102303"/>
    <s v="C165489"/>
    <x v="0"/>
    <x v="13"/>
    <x v="4"/>
    <n v="4"/>
    <x v="7"/>
    <x v="2"/>
    <x v="410"/>
    <x v="2"/>
  </r>
  <r>
    <s v="I102304"/>
    <s v="C603018"/>
    <x v="1"/>
    <x v="46"/>
    <x v="6"/>
    <n v="3"/>
    <x v="10"/>
    <x v="0"/>
    <x v="497"/>
    <x v="1"/>
  </r>
  <r>
    <s v="I102306"/>
    <s v="C270038"/>
    <x v="1"/>
    <x v="17"/>
    <x v="7"/>
    <n v="2"/>
    <x v="11"/>
    <x v="0"/>
    <x v="270"/>
    <x v="9"/>
  </r>
  <r>
    <s v="I102311"/>
    <s v="C689496"/>
    <x v="1"/>
    <x v="31"/>
    <x v="5"/>
    <n v="2"/>
    <x v="18"/>
    <x v="1"/>
    <x v="66"/>
    <x v="7"/>
  </r>
  <r>
    <s v="I102314"/>
    <s v="C244044"/>
    <x v="1"/>
    <x v="10"/>
    <x v="0"/>
    <n v="1"/>
    <x v="5"/>
    <x v="2"/>
    <x v="88"/>
    <x v="5"/>
  </r>
  <r>
    <s v="I102316"/>
    <s v="C102664"/>
    <x v="1"/>
    <x v="7"/>
    <x v="7"/>
    <n v="2"/>
    <x v="11"/>
    <x v="2"/>
    <x v="200"/>
    <x v="0"/>
  </r>
  <r>
    <s v="I102320"/>
    <s v="C240298"/>
    <x v="1"/>
    <x v="43"/>
    <x v="1"/>
    <n v="5"/>
    <x v="1"/>
    <x v="2"/>
    <x v="168"/>
    <x v="3"/>
  </r>
  <r>
    <s v="I102323"/>
    <s v="C231102"/>
    <x v="1"/>
    <x v="3"/>
    <x v="0"/>
    <n v="5"/>
    <x v="0"/>
    <x v="2"/>
    <x v="72"/>
    <x v="9"/>
  </r>
  <r>
    <s v="I102324"/>
    <s v="C111343"/>
    <x v="1"/>
    <x v="9"/>
    <x v="1"/>
    <n v="4"/>
    <x v="30"/>
    <x v="2"/>
    <x v="316"/>
    <x v="3"/>
  </r>
  <r>
    <s v="I102330"/>
    <s v="C552450"/>
    <x v="0"/>
    <x v="5"/>
    <x v="0"/>
    <n v="4"/>
    <x v="23"/>
    <x v="0"/>
    <x v="478"/>
    <x v="2"/>
  </r>
  <r>
    <s v="I102332"/>
    <s v="C116250"/>
    <x v="1"/>
    <x v="17"/>
    <x v="3"/>
    <n v="5"/>
    <x v="13"/>
    <x v="0"/>
    <x v="498"/>
    <x v="9"/>
  </r>
  <r>
    <s v="I102340"/>
    <s v="C293553"/>
    <x v="0"/>
    <x v="27"/>
    <x v="0"/>
    <n v="4"/>
    <x v="23"/>
    <x v="1"/>
    <x v="499"/>
    <x v="9"/>
  </r>
  <r>
    <s v="I102344"/>
    <s v="C411285"/>
    <x v="1"/>
    <x v="45"/>
    <x v="5"/>
    <n v="3"/>
    <x v="27"/>
    <x v="0"/>
    <x v="466"/>
    <x v="3"/>
  </r>
  <r>
    <s v="I102345"/>
    <s v="C329679"/>
    <x v="0"/>
    <x v="44"/>
    <x v="0"/>
    <n v="4"/>
    <x v="23"/>
    <x v="0"/>
    <x v="500"/>
    <x v="5"/>
  </r>
  <r>
    <s v="I102347"/>
    <s v="C229953"/>
    <x v="0"/>
    <x v="4"/>
    <x v="0"/>
    <n v="4"/>
    <x v="23"/>
    <x v="2"/>
    <x v="501"/>
    <x v="9"/>
  </r>
  <r>
    <s v="I102348"/>
    <s v="C964439"/>
    <x v="0"/>
    <x v="34"/>
    <x v="0"/>
    <n v="2"/>
    <x v="2"/>
    <x v="2"/>
    <x v="79"/>
    <x v="0"/>
  </r>
  <r>
    <s v="I102355"/>
    <s v="C209984"/>
    <x v="0"/>
    <x v="7"/>
    <x v="6"/>
    <n v="5"/>
    <x v="26"/>
    <x v="0"/>
    <x v="487"/>
    <x v="6"/>
  </r>
  <r>
    <s v="I102361"/>
    <s v="C831180"/>
    <x v="1"/>
    <x v="11"/>
    <x v="0"/>
    <n v="2"/>
    <x v="2"/>
    <x v="0"/>
    <x v="502"/>
    <x v="3"/>
  </r>
  <r>
    <s v="I102365"/>
    <s v="C186468"/>
    <x v="0"/>
    <x v="5"/>
    <x v="0"/>
    <n v="1"/>
    <x v="5"/>
    <x v="0"/>
    <x v="59"/>
    <x v="3"/>
  </r>
  <r>
    <s v="I102371"/>
    <s v="C173386"/>
    <x v="0"/>
    <x v="5"/>
    <x v="0"/>
    <n v="1"/>
    <x v="5"/>
    <x v="2"/>
    <x v="262"/>
    <x v="9"/>
  </r>
  <r>
    <s v="I102374"/>
    <s v="C533960"/>
    <x v="1"/>
    <x v="20"/>
    <x v="5"/>
    <n v="3"/>
    <x v="27"/>
    <x v="0"/>
    <x v="503"/>
    <x v="2"/>
  </r>
  <r>
    <s v="I102375"/>
    <s v="C305450"/>
    <x v="1"/>
    <x v="6"/>
    <x v="6"/>
    <n v="1"/>
    <x v="38"/>
    <x v="0"/>
    <x v="117"/>
    <x v="2"/>
  </r>
  <r>
    <s v="I102376"/>
    <s v="C271700"/>
    <x v="1"/>
    <x v="48"/>
    <x v="0"/>
    <n v="2"/>
    <x v="2"/>
    <x v="0"/>
    <x v="504"/>
    <x v="1"/>
  </r>
  <r>
    <s v="I102377"/>
    <s v="C124677"/>
    <x v="1"/>
    <x v="2"/>
    <x v="0"/>
    <n v="3"/>
    <x v="12"/>
    <x v="2"/>
    <x v="505"/>
    <x v="4"/>
  </r>
  <r>
    <s v="I102389"/>
    <s v="C455912"/>
    <x v="0"/>
    <x v="29"/>
    <x v="1"/>
    <n v="3"/>
    <x v="8"/>
    <x v="2"/>
    <x v="506"/>
    <x v="2"/>
  </r>
  <r>
    <s v="I102395"/>
    <s v="C316538"/>
    <x v="1"/>
    <x v="23"/>
    <x v="1"/>
    <n v="4"/>
    <x v="30"/>
    <x v="0"/>
    <x v="507"/>
    <x v="3"/>
  </r>
  <r>
    <s v="I102396"/>
    <s v="C334331"/>
    <x v="0"/>
    <x v="49"/>
    <x v="5"/>
    <n v="4"/>
    <x v="19"/>
    <x v="0"/>
    <x v="254"/>
    <x v="3"/>
  </r>
  <r>
    <s v="I102397"/>
    <s v="C246554"/>
    <x v="0"/>
    <x v="6"/>
    <x v="0"/>
    <n v="3"/>
    <x v="12"/>
    <x v="2"/>
    <x v="508"/>
    <x v="5"/>
  </r>
  <r>
    <s v="I102398"/>
    <s v="C766818"/>
    <x v="0"/>
    <x v="29"/>
    <x v="2"/>
    <n v="5"/>
    <x v="15"/>
    <x v="0"/>
    <x v="83"/>
    <x v="9"/>
  </r>
  <r>
    <s v="I102403"/>
    <s v="C610622"/>
    <x v="1"/>
    <x v="35"/>
    <x v="0"/>
    <n v="3"/>
    <x v="12"/>
    <x v="0"/>
    <x v="205"/>
    <x v="5"/>
  </r>
  <r>
    <s v="I102404"/>
    <s v="C142061"/>
    <x v="0"/>
    <x v="25"/>
    <x v="0"/>
    <n v="4"/>
    <x v="23"/>
    <x v="2"/>
    <x v="364"/>
    <x v="2"/>
  </r>
  <r>
    <s v="I102405"/>
    <s v="C296119"/>
    <x v="0"/>
    <x v="26"/>
    <x v="3"/>
    <n v="4"/>
    <x v="4"/>
    <x v="2"/>
    <x v="174"/>
    <x v="9"/>
  </r>
  <r>
    <s v="I102408"/>
    <s v="C112153"/>
    <x v="1"/>
    <x v="38"/>
    <x v="0"/>
    <n v="5"/>
    <x v="0"/>
    <x v="2"/>
    <x v="509"/>
    <x v="2"/>
  </r>
  <r>
    <s v="I102413"/>
    <s v="C408282"/>
    <x v="0"/>
    <x v="9"/>
    <x v="5"/>
    <n v="2"/>
    <x v="18"/>
    <x v="1"/>
    <x v="45"/>
    <x v="5"/>
  </r>
  <r>
    <s v="I102415"/>
    <s v="C279084"/>
    <x v="1"/>
    <x v="48"/>
    <x v="5"/>
    <n v="5"/>
    <x v="22"/>
    <x v="0"/>
    <x v="510"/>
    <x v="3"/>
  </r>
  <r>
    <s v="I102416"/>
    <s v="C318747"/>
    <x v="0"/>
    <x v="22"/>
    <x v="1"/>
    <n v="4"/>
    <x v="30"/>
    <x v="2"/>
    <x v="82"/>
    <x v="0"/>
  </r>
  <r>
    <s v="I102417"/>
    <s v="C381679"/>
    <x v="1"/>
    <x v="16"/>
    <x v="4"/>
    <n v="4"/>
    <x v="7"/>
    <x v="1"/>
    <x v="125"/>
    <x v="3"/>
  </r>
  <r>
    <s v="I102427"/>
    <s v="C309294"/>
    <x v="0"/>
    <x v="35"/>
    <x v="6"/>
    <n v="5"/>
    <x v="26"/>
    <x v="1"/>
    <x v="91"/>
    <x v="2"/>
  </r>
  <r>
    <s v="I102433"/>
    <s v="C215256"/>
    <x v="1"/>
    <x v="28"/>
    <x v="7"/>
    <n v="2"/>
    <x v="11"/>
    <x v="1"/>
    <x v="219"/>
    <x v="2"/>
  </r>
  <r>
    <s v="I102437"/>
    <s v="C329779"/>
    <x v="1"/>
    <x v="47"/>
    <x v="0"/>
    <n v="2"/>
    <x v="2"/>
    <x v="0"/>
    <x v="41"/>
    <x v="5"/>
  </r>
  <r>
    <s v="I102440"/>
    <s v="C583660"/>
    <x v="1"/>
    <x v="17"/>
    <x v="0"/>
    <n v="3"/>
    <x v="12"/>
    <x v="2"/>
    <x v="511"/>
    <x v="1"/>
  </r>
  <r>
    <s v="I102443"/>
    <s v="C998094"/>
    <x v="1"/>
    <x v="49"/>
    <x v="5"/>
    <n v="2"/>
    <x v="18"/>
    <x v="0"/>
    <x v="512"/>
    <x v="3"/>
  </r>
  <r>
    <s v="I102444"/>
    <s v="C310499"/>
    <x v="1"/>
    <x v="44"/>
    <x v="7"/>
    <n v="1"/>
    <x v="34"/>
    <x v="1"/>
    <x v="513"/>
    <x v="3"/>
  </r>
  <r>
    <s v="I102451"/>
    <s v="C127080"/>
    <x v="1"/>
    <x v="5"/>
    <x v="1"/>
    <n v="4"/>
    <x v="30"/>
    <x v="2"/>
    <x v="514"/>
    <x v="9"/>
  </r>
  <r>
    <s v="I102453"/>
    <s v="C125666"/>
    <x v="0"/>
    <x v="45"/>
    <x v="0"/>
    <n v="5"/>
    <x v="0"/>
    <x v="1"/>
    <x v="515"/>
    <x v="0"/>
  </r>
  <r>
    <s v="I102459"/>
    <s v="C379128"/>
    <x v="1"/>
    <x v="1"/>
    <x v="0"/>
    <n v="4"/>
    <x v="23"/>
    <x v="1"/>
    <x v="516"/>
    <x v="6"/>
  </r>
  <r>
    <s v="I102460"/>
    <s v="C944064"/>
    <x v="1"/>
    <x v="38"/>
    <x v="0"/>
    <n v="5"/>
    <x v="0"/>
    <x v="0"/>
    <x v="84"/>
    <x v="2"/>
  </r>
  <r>
    <s v="I102468"/>
    <s v="C450900"/>
    <x v="1"/>
    <x v="20"/>
    <x v="0"/>
    <n v="3"/>
    <x v="12"/>
    <x v="2"/>
    <x v="517"/>
    <x v="5"/>
  </r>
  <r>
    <s v="I102470"/>
    <s v="C240359"/>
    <x v="0"/>
    <x v="19"/>
    <x v="5"/>
    <n v="5"/>
    <x v="22"/>
    <x v="2"/>
    <x v="240"/>
    <x v="2"/>
  </r>
  <r>
    <s v="I102477"/>
    <s v="C137641"/>
    <x v="0"/>
    <x v="32"/>
    <x v="3"/>
    <n v="5"/>
    <x v="13"/>
    <x v="1"/>
    <x v="22"/>
    <x v="2"/>
  </r>
  <r>
    <s v="I102480"/>
    <s v="C264394"/>
    <x v="0"/>
    <x v="44"/>
    <x v="6"/>
    <n v="2"/>
    <x v="17"/>
    <x v="0"/>
    <x v="429"/>
    <x v="7"/>
  </r>
  <r>
    <s v="I102481"/>
    <s v="C521673"/>
    <x v="0"/>
    <x v="43"/>
    <x v="5"/>
    <n v="4"/>
    <x v="19"/>
    <x v="2"/>
    <x v="96"/>
    <x v="5"/>
  </r>
  <r>
    <s v="I102483"/>
    <s v="C179176"/>
    <x v="1"/>
    <x v="37"/>
    <x v="7"/>
    <n v="5"/>
    <x v="33"/>
    <x v="0"/>
    <x v="405"/>
    <x v="3"/>
  </r>
  <r>
    <s v="I102486"/>
    <s v="C142171"/>
    <x v="0"/>
    <x v="2"/>
    <x v="0"/>
    <n v="5"/>
    <x v="0"/>
    <x v="0"/>
    <x v="59"/>
    <x v="9"/>
  </r>
  <r>
    <s v="I102487"/>
    <s v="C104393"/>
    <x v="0"/>
    <x v="2"/>
    <x v="0"/>
    <n v="1"/>
    <x v="5"/>
    <x v="2"/>
    <x v="17"/>
    <x v="5"/>
  </r>
  <r>
    <s v="I102488"/>
    <s v="C217895"/>
    <x v="0"/>
    <x v="36"/>
    <x v="1"/>
    <n v="5"/>
    <x v="1"/>
    <x v="0"/>
    <x v="518"/>
    <x v="9"/>
  </r>
  <r>
    <s v="I102489"/>
    <s v="C180255"/>
    <x v="0"/>
    <x v="6"/>
    <x v="4"/>
    <n v="2"/>
    <x v="20"/>
    <x v="1"/>
    <x v="416"/>
    <x v="5"/>
  </r>
  <r>
    <s v="I102490"/>
    <s v="C191187"/>
    <x v="1"/>
    <x v="2"/>
    <x v="6"/>
    <n v="4"/>
    <x v="32"/>
    <x v="2"/>
    <x v="511"/>
    <x v="2"/>
  </r>
  <r>
    <s v="I102491"/>
    <s v="C534732"/>
    <x v="1"/>
    <x v="35"/>
    <x v="5"/>
    <n v="2"/>
    <x v="18"/>
    <x v="2"/>
    <x v="519"/>
    <x v="7"/>
  </r>
  <r>
    <s v="I102494"/>
    <s v="C260867"/>
    <x v="0"/>
    <x v="48"/>
    <x v="0"/>
    <n v="4"/>
    <x v="23"/>
    <x v="1"/>
    <x v="520"/>
    <x v="5"/>
  </r>
  <r>
    <s v="I102495"/>
    <s v="C179897"/>
    <x v="0"/>
    <x v="23"/>
    <x v="0"/>
    <n v="2"/>
    <x v="2"/>
    <x v="0"/>
    <x v="521"/>
    <x v="3"/>
  </r>
  <r>
    <s v="I102497"/>
    <s v="C299013"/>
    <x v="0"/>
    <x v="7"/>
    <x v="0"/>
    <n v="1"/>
    <x v="5"/>
    <x v="2"/>
    <x v="174"/>
    <x v="2"/>
  </r>
  <r>
    <s v="I102500"/>
    <s v="C973474"/>
    <x v="1"/>
    <x v="44"/>
    <x v="0"/>
    <n v="3"/>
    <x v="12"/>
    <x v="2"/>
    <x v="522"/>
    <x v="2"/>
  </r>
  <r>
    <s v="I102501"/>
    <s v="C634728"/>
    <x v="0"/>
    <x v="47"/>
    <x v="0"/>
    <n v="3"/>
    <x v="12"/>
    <x v="2"/>
    <x v="311"/>
    <x v="9"/>
  </r>
  <r>
    <s v="I102502"/>
    <s v="C256344"/>
    <x v="1"/>
    <x v="49"/>
    <x v="4"/>
    <n v="1"/>
    <x v="14"/>
    <x v="1"/>
    <x v="480"/>
    <x v="5"/>
  </r>
  <r>
    <s v="I102504"/>
    <s v="C287619"/>
    <x v="1"/>
    <x v="37"/>
    <x v="0"/>
    <n v="4"/>
    <x v="23"/>
    <x v="1"/>
    <x v="478"/>
    <x v="3"/>
  </r>
  <r>
    <s v="I102509"/>
    <s v="C164347"/>
    <x v="1"/>
    <x v="39"/>
    <x v="3"/>
    <n v="5"/>
    <x v="13"/>
    <x v="1"/>
    <x v="369"/>
    <x v="1"/>
  </r>
  <r>
    <s v="I102512"/>
    <s v="C199702"/>
    <x v="0"/>
    <x v="45"/>
    <x v="5"/>
    <n v="2"/>
    <x v="18"/>
    <x v="2"/>
    <x v="523"/>
    <x v="6"/>
  </r>
  <r>
    <s v="I102513"/>
    <s v="C317824"/>
    <x v="0"/>
    <x v="45"/>
    <x v="0"/>
    <n v="3"/>
    <x v="12"/>
    <x v="2"/>
    <x v="524"/>
    <x v="9"/>
  </r>
  <r>
    <s v="I102514"/>
    <s v="C310453"/>
    <x v="1"/>
    <x v="15"/>
    <x v="4"/>
    <n v="5"/>
    <x v="24"/>
    <x v="1"/>
    <x v="122"/>
    <x v="5"/>
  </r>
  <r>
    <s v="I102518"/>
    <s v="C904918"/>
    <x v="1"/>
    <x v="15"/>
    <x v="5"/>
    <n v="1"/>
    <x v="9"/>
    <x v="2"/>
    <x v="409"/>
    <x v="5"/>
  </r>
  <r>
    <s v="I102520"/>
    <s v="C531894"/>
    <x v="1"/>
    <x v="32"/>
    <x v="2"/>
    <n v="4"/>
    <x v="21"/>
    <x v="2"/>
    <x v="320"/>
    <x v="0"/>
  </r>
  <r>
    <s v="I102521"/>
    <s v="C314327"/>
    <x v="1"/>
    <x v="26"/>
    <x v="4"/>
    <n v="2"/>
    <x v="20"/>
    <x v="2"/>
    <x v="525"/>
    <x v="0"/>
  </r>
  <r>
    <s v="I102525"/>
    <s v="C240268"/>
    <x v="0"/>
    <x v="45"/>
    <x v="1"/>
    <n v="1"/>
    <x v="28"/>
    <x v="0"/>
    <x v="526"/>
    <x v="5"/>
  </r>
  <r>
    <s v="I102526"/>
    <s v="C317197"/>
    <x v="0"/>
    <x v="32"/>
    <x v="1"/>
    <n v="3"/>
    <x v="8"/>
    <x v="2"/>
    <x v="527"/>
    <x v="8"/>
  </r>
  <r>
    <s v="I102528"/>
    <s v="C279943"/>
    <x v="0"/>
    <x v="22"/>
    <x v="7"/>
    <n v="3"/>
    <x v="29"/>
    <x v="1"/>
    <x v="6"/>
    <x v="1"/>
  </r>
  <r>
    <s v="I102533"/>
    <s v="C363843"/>
    <x v="1"/>
    <x v="11"/>
    <x v="0"/>
    <n v="3"/>
    <x v="12"/>
    <x v="0"/>
    <x v="497"/>
    <x v="0"/>
  </r>
  <r>
    <s v="I102534"/>
    <s v="C522955"/>
    <x v="1"/>
    <x v="15"/>
    <x v="0"/>
    <n v="4"/>
    <x v="23"/>
    <x v="1"/>
    <x v="528"/>
    <x v="3"/>
  </r>
  <r>
    <s v="I102535"/>
    <s v="C194716"/>
    <x v="0"/>
    <x v="37"/>
    <x v="5"/>
    <n v="1"/>
    <x v="9"/>
    <x v="0"/>
    <x v="529"/>
    <x v="7"/>
  </r>
  <r>
    <s v="I102541"/>
    <s v="C369611"/>
    <x v="1"/>
    <x v="1"/>
    <x v="1"/>
    <n v="3"/>
    <x v="8"/>
    <x v="2"/>
    <x v="337"/>
    <x v="7"/>
  </r>
  <r>
    <s v="I102542"/>
    <s v="C860947"/>
    <x v="1"/>
    <x v="37"/>
    <x v="0"/>
    <n v="2"/>
    <x v="2"/>
    <x v="2"/>
    <x v="65"/>
    <x v="2"/>
  </r>
  <r>
    <s v="I102543"/>
    <s v="C252688"/>
    <x v="1"/>
    <x v="39"/>
    <x v="6"/>
    <n v="2"/>
    <x v="17"/>
    <x v="2"/>
    <x v="192"/>
    <x v="5"/>
  </r>
  <r>
    <s v="I102546"/>
    <s v="C307847"/>
    <x v="1"/>
    <x v="13"/>
    <x v="5"/>
    <n v="2"/>
    <x v="18"/>
    <x v="0"/>
    <x v="278"/>
    <x v="7"/>
  </r>
  <r>
    <s v="I102547"/>
    <s v="C941147"/>
    <x v="1"/>
    <x v="34"/>
    <x v="0"/>
    <n v="2"/>
    <x v="2"/>
    <x v="1"/>
    <x v="530"/>
    <x v="4"/>
  </r>
  <r>
    <s v="I102553"/>
    <s v="C153282"/>
    <x v="0"/>
    <x v="22"/>
    <x v="7"/>
    <n v="4"/>
    <x v="16"/>
    <x v="0"/>
    <x v="189"/>
    <x v="3"/>
  </r>
  <r>
    <s v="I102556"/>
    <s v="C315965"/>
    <x v="0"/>
    <x v="46"/>
    <x v="0"/>
    <n v="1"/>
    <x v="5"/>
    <x v="0"/>
    <x v="330"/>
    <x v="5"/>
  </r>
  <r>
    <s v="I102558"/>
    <s v="C153506"/>
    <x v="1"/>
    <x v="13"/>
    <x v="0"/>
    <n v="5"/>
    <x v="0"/>
    <x v="1"/>
    <x v="531"/>
    <x v="7"/>
  </r>
  <r>
    <s v="I102559"/>
    <s v="C839296"/>
    <x v="1"/>
    <x v="24"/>
    <x v="2"/>
    <n v="4"/>
    <x v="21"/>
    <x v="0"/>
    <x v="532"/>
    <x v="2"/>
  </r>
  <r>
    <s v="I102561"/>
    <s v="C220525"/>
    <x v="0"/>
    <x v="7"/>
    <x v="0"/>
    <n v="3"/>
    <x v="12"/>
    <x v="2"/>
    <x v="480"/>
    <x v="3"/>
  </r>
  <r>
    <s v="I102562"/>
    <s v="C272836"/>
    <x v="1"/>
    <x v="23"/>
    <x v="7"/>
    <n v="5"/>
    <x v="33"/>
    <x v="0"/>
    <x v="533"/>
    <x v="2"/>
  </r>
  <r>
    <s v="I102564"/>
    <s v="C152318"/>
    <x v="1"/>
    <x v="20"/>
    <x v="0"/>
    <n v="5"/>
    <x v="0"/>
    <x v="0"/>
    <x v="273"/>
    <x v="3"/>
  </r>
  <r>
    <s v="I102567"/>
    <s v="C441192"/>
    <x v="1"/>
    <x v="10"/>
    <x v="0"/>
    <n v="1"/>
    <x v="5"/>
    <x v="2"/>
    <x v="123"/>
    <x v="5"/>
  </r>
  <r>
    <s v="I102569"/>
    <s v="C162413"/>
    <x v="0"/>
    <x v="31"/>
    <x v="1"/>
    <n v="4"/>
    <x v="30"/>
    <x v="2"/>
    <x v="534"/>
    <x v="4"/>
  </r>
  <r>
    <s v="I102573"/>
    <s v="C602990"/>
    <x v="1"/>
    <x v="34"/>
    <x v="5"/>
    <n v="2"/>
    <x v="18"/>
    <x v="0"/>
    <x v="484"/>
    <x v="2"/>
  </r>
  <r>
    <s v="I102578"/>
    <s v="C207183"/>
    <x v="1"/>
    <x v="21"/>
    <x v="0"/>
    <n v="3"/>
    <x v="12"/>
    <x v="0"/>
    <x v="426"/>
    <x v="3"/>
  </r>
  <r>
    <s v="I102587"/>
    <s v="C255931"/>
    <x v="1"/>
    <x v="33"/>
    <x v="4"/>
    <n v="2"/>
    <x v="20"/>
    <x v="0"/>
    <x v="11"/>
    <x v="5"/>
  </r>
  <r>
    <s v="I102589"/>
    <s v="C770363"/>
    <x v="0"/>
    <x v="16"/>
    <x v="0"/>
    <n v="3"/>
    <x v="12"/>
    <x v="1"/>
    <x v="535"/>
    <x v="8"/>
  </r>
  <r>
    <s v="I102595"/>
    <s v="C256607"/>
    <x v="1"/>
    <x v="23"/>
    <x v="4"/>
    <n v="2"/>
    <x v="20"/>
    <x v="0"/>
    <x v="126"/>
    <x v="3"/>
  </r>
  <r>
    <s v="I102600"/>
    <s v="C425591"/>
    <x v="0"/>
    <x v="23"/>
    <x v="0"/>
    <n v="1"/>
    <x v="5"/>
    <x v="2"/>
    <x v="71"/>
    <x v="2"/>
  </r>
  <r>
    <s v="I102604"/>
    <s v="C286659"/>
    <x v="0"/>
    <x v="46"/>
    <x v="5"/>
    <n v="3"/>
    <x v="27"/>
    <x v="0"/>
    <x v="510"/>
    <x v="2"/>
  </r>
  <r>
    <s v="I102607"/>
    <s v="C905205"/>
    <x v="1"/>
    <x v="0"/>
    <x v="5"/>
    <n v="4"/>
    <x v="19"/>
    <x v="2"/>
    <x v="447"/>
    <x v="7"/>
  </r>
  <r>
    <s v="I102610"/>
    <s v="C167297"/>
    <x v="1"/>
    <x v="27"/>
    <x v="4"/>
    <n v="3"/>
    <x v="6"/>
    <x v="2"/>
    <x v="232"/>
    <x v="9"/>
  </r>
  <r>
    <s v="I102612"/>
    <s v="C210929"/>
    <x v="1"/>
    <x v="43"/>
    <x v="0"/>
    <n v="2"/>
    <x v="2"/>
    <x v="2"/>
    <x v="351"/>
    <x v="2"/>
  </r>
  <r>
    <s v="I102613"/>
    <s v="C602495"/>
    <x v="1"/>
    <x v="8"/>
    <x v="5"/>
    <n v="1"/>
    <x v="9"/>
    <x v="0"/>
    <x v="68"/>
    <x v="9"/>
  </r>
  <r>
    <s v="I102619"/>
    <s v="C279714"/>
    <x v="1"/>
    <x v="26"/>
    <x v="0"/>
    <n v="2"/>
    <x v="2"/>
    <x v="2"/>
    <x v="189"/>
    <x v="3"/>
  </r>
  <r>
    <s v="I102623"/>
    <s v="C191191"/>
    <x v="0"/>
    <x v="38"/>
    <x v="1"/>
    <n v="4"/>
    <x v="30"/>
    <x v="2"/>
    <x v="236"/>
    <x v="4"/>
  </r>
  <r>
    <s v="I102625"/>
    <s v="C305261"/>
    <x v="0"/>
    <x v="46"/>
    <x v="5"/>
    <n v="2"/>
    <x v="18"/>
    <x v="0"/>
    <x v="536"/>
    <x v="4"/>
  </r>
  <r>
    <s v="I102628"/>
    <s v="C800190"/>
    <x v="0"/>
    <x v="24"/>
    <x v="0"/>
    <n v="1"/>
    <x v="5"/>
    <x v="2"/>
    <x v="271"/>
    <x v="8"/>
  </r>
  <r>
    <s v="I102629"/>
    <s v="C103453"/>
    <x v="0"/>
    <x v="15"/>
    <x v="0"/>
    <n v="5"/>
    <x v="0"/>
    <x v="2"/>
    <x v="447"/>
    <x v="2"/>
  </r>
  <r>
    <s v="I102632"/>
    <s v="C247827"/>
    <x v="0"/>
    <x v="1"/>
    <x v="0"/>
    <n v="1"/>
    <x v="5"/>
    <x v="2"/>
    <x v="135"/>
    <x v="5"/>
  </r>
  <r>
    <s v="I102634"/>
    <s v="C205293"/>
    <x v="0"/>
    <x v="28"/>
    <x v="0"/>
    <n v="3"/>
    <x v="12"/>
    <x v="2"/>
    <x v="199"/>
    <x v="6"/>
  </r>
  <r>
    <s v="I102635"/>
    <s v="C162707"/>
    <x v="1"/>
    <x v="8"/>
    <x v="0"/>
    <n v="4"/>
    <x v="23"/>
    <x v="0"/>
    <x v="243"/>
    <x v="0"/>
  </r>
  <r>
    <s v="I102636"/>
    <s v="C988123"/>
    <x v="0"/>
    <x v="3"/>
    <x v="1"/>
    <n v="3"/>
    <x v="8"/>
    <x v="0"/>
    <x v="537"/>
    <x v="5"/>
  </r>
  <r>
    <s v="I102641"/>
    <s v="C148509"/>
    <x v="0"/>
    <x v="12"/>
    <x v="1"/>
    <n v="4"/>
    <x v="30"/>
    <x v="2"/>
    <x v="6"/>
    <x v="2"/>
  </r>
  <r>
    <s v="I102642"/>
    <s v="C626080"/>
    <x v="0"/>
    <x v="31"/>
    <x v="5"/>
    <n v="2"/>
    <x v="18"/>
    <x v="2"/>
    <x v="538"/>
    <x v="1"/>
  </r>
  <r>
    <s v="I102645"/>
    <s v="C156538"/>
    <x v="0"/>
    <x v="15"/>
    <x v="2"/>
    <n v="1"/>
    <x v="37"/>
    <x v="2"/>
    <x v="539"/>
    <x v="5"/>
  </r>
  <r>
    <s v="I102647"/>
    <s v="C208778"/>
    <x v="1"/>
    <x v="2"/>
    <x v="1"/>
    <n v="5"/>
    <x v="1"/>
    <x v="0"/>
    <x v="540"/>
    <x v="4"/>
  </r>
  <r>
    <s v="I102652"/>
    <s v="C134226"/>
    <x v="1"/>
    <x v="3"/>
    <x v="0"/>
    <n v="1"/>
    <x v="5"/>
    <x v="0"/>
    <x v="525"/>
    <x v="7"/>
  </r>
  <r>
    <s v="I102653"/>
    <s v="C144135"/>
    <x v="1"/>
    <x v="32"/>
    <x v="0"/>
    <n v="1"/>
    <x v="5"/>
    <x v="0"/>
    <x v="432"/>
    <x v="5"/>
  </r>
  <r>
    <s v="I102656"/>
    <s v="C317978"/>
    <x v="0"/>
    <x v="31"/>
    <x v="2"/>
    <n v="5"/>
    <x v="15"/>
    <x v="2"/>
    <x v="365"/>
    <x v="3"/>
  </r>
  <r>
    <s v="I102666"/>
    <s v="C114925"/>
    <x v="0"/>
    <x v="43"/>
    <x v="5"/>
    <n v="5"/>
    <x v="22"/>
    <x v="0"/>
    <x v="541"/>
    <x v="2"/>
  </r>
  <r>
    <s v="I102669"/>
    <s v="C172671"/>
    <x v="0"/>
    <x v="42"/>
    <x v="0"/>
    <n v="1"/>
    <x v="5"/>
    <x v="2"/>
    <x v="284"/>
    <x v="5"/>
  </r>
  <r>
    <s v="I102675"/>
    <s v="C936544"/>
    <x v="1"/>
    <x v="22"/>
    <x v="4"/>
    <n v="2"/>
    <x v="20"/>
    <x v="0"/>
    <x v="366"/>
    <x v="9"/>
  </r>
  <r>
    <s v="I102677"/>
    <s v="C149751"/>
    <x v="0"/>
    <x v="28"/>
    <x v="5"/>
    <n v="3"/>
    <x v="27"/>
    <x v="2"/>
    <x v="164"/>
    <x v="0"/>
  </r>
  <r>
    <s v="I102681"/>
    <s v="C298900"/>
    <x v="1"/>
    <x v="4"/>
    <x v="0"/>
    <n v="1"/>
    <x v="5"/>
    <x v="2"/>
    <x v="178"/>
    <x v="3"/>
  </r>
  <r>
    <s v="I102686"/>
    <s v="C128656"/>
    <x v="1"/>
    <x v="35"/>
    <x v="0"/>
    <n v="3"/>
    <x v="12"/>
    <x v="2"/>
    <x v="205"/>
    <x v="5"/>
  </r>
  <r>
    <s v="I102690"/>
    <s v="C177682"/>
    <x v="0"/>
    <x v="40"/>
    <x v="1"/>
    <n v="3"/>
    <x v="8"/>
    <x v="1"/>
    <x v="485"/>
    <x v="2"/>
  </r>
  <r>
    <s v="I102691"/>
    <s v="C253781"/>
    <x v="1"/>
    <x v="2"/>
    <x v="6"/>
    <n v="3"/>
    <x v="10"/>
    <x v="2"/>
    <x v="278"/>
    <x v="7"/>
  </r>
  <r>
    <s v="I102692"/>
    <s v="C340001"/>
    <x v="1"/>
    <x v="0"/>
    <x v="4"/>
    <n v="2"/>
    <x v="20"/>
    <x v="0"/>
    <x v="406"/>
    <x v="2"/>
  </r>
  <r>
    <s v="I102694"/>
    <s v="C782676"/>
    <x v="1"/>
    <x v="0"/>
    <x v="5"/>
    <n v="5"/>
    <x v="22"/>
    <x v="0"/>
    <x v="74"/>
    <x v="2"/>
  </r>
  <r>
    <s v="I102697"/>
    <s v="C232551"/>
    <x v="0"/>
    <x v="47"/>
    <x v="0"/>
    <n v="2"/>
    <x v="2"/>
    <x v="1"/>
    <x v="285"/>
    <x v="3"/>
  </r>
  <r>
    <s v="I102700"/>
    <s v="C378568"/>
    <x v="1"/>
    <x v="36"/>
    <x v="0"/>
    <n v="4"/>
    <x v="23"/>
    <x v="0"/>
    <x v="45"/>
    <x v="2"/>
  </r>
  <r>
    <s v="I102703"/>
    <s v="C110600"/>
    <x v="1"/>
    <x v="42"/>
    <x v="3"/>
    <n v="5"/>
    <x v="13"/>
    <x v="2"/>
    <x v="397"/>
    <x v="2"/>
  </r>
  <r>
    <s v="I102713"/>
    <s v="C259637"/>
    <x v="1"/>
    <x v="18"/>
    <x v="5"/>
    <n v="1"/>
    <x v="9"/>
    <x v="0"/>
    <x v="542"/>
    <x v="3"/>
  </r>
  <r>
    <s v="I102714"/>
    <s v="C182058"/>
    <x v="1"/>
    <x v="7"/>
    <x v="0"/>
    <n v="3"/>
    <x v="12"/>
    <x v="1"/>
    <x v="2"/>
    <x v="2"/>
  </r>
  <r>
    <s v="I102715"/>
    <s v="C837237"/>
    <x v="0"/>
    <x v="35"/>
    <x v="0"/>
    <n v="3"/>
    <x v="12"/>
    <x v="1"/>
    <x v="75"/>
    <x v="9"/>
  </r>
  <r>
    <s v="I102716"/>
    <s v="C231411"/>
    <x v="1"/>
    <x v="18"/>
    <x v="7"/>
    <n v="3"/>
    <x v="29"/>
    <x v="2"/>
    <x v="543"/>
    <x v="3"/>
  </r>
  <r>
    <s v="I102719"/>
    <s v="C480086"/>
    <x v="1"/>
    <x v="22"/>
    <x v="3"/>
    <n v="1"/>
    <x v="31"/>
    <x v="0"/>
    <x v="544"/>
    <x v="2"/>
  </r>
  <r>
    <s v="I102721"/>
    <s v="C102359"/>
    <x v="0"/>
    <x v="36"/>
    <x v="7"/>
    <n v="3"/>
    <x v="29"/>
    <x v="2"/>
    <x v="545"/>
    <x v="3"/>
  </r>
  <r>
    <s v="I102725"/>
    <s v="C385326"/>
    <x v="1"/>
    <x v="47"/>
    <x v="7"/>
    <n v="5"/>
    <x v="33"/>
    <x v="0"/>
    <x v="533"/>
    <x v="3"/>
  </r>
  <r>
    <s v="I102726"/>
    <s v="C444281"/>
    <x v="1"/>
    <x v="43"/>
    <x v="0"/>
    <n v="2"/>
    <x v="2"/>
    <x v="2"/>
    <x v="546"/>
    <x v="8"/>
  </r>
  <r>
    <s v="I102729"/>
    <s v="C216936"/>
    <x v="1"/>
    <x v="16"/>
    <x v="0"/>
    <n v="1"/>
    <x v="5"/>
    <x v="2"/>
    <x v="175"/>
    <x v="3"/>
  </r>
  <r>
    <s v="I102730"/>
    <s v="C181990"/>
    <x v="0"/>
    <x v="36"/>
    <x v="3"/>
    <n v="4"/>
    <x v="4"/>
    <x v="0"/>
    <x v="95"/>
    <x v="2"/>
  </r>
  <r>
    <s v="I102732"/>
    <s v="C719232"/>
    <x v="0"/>
    <x v="8"/>
    <x v="0"/>
    <n v="5"/>
    <x v="0"/>
    <x v="0"/>
    <x v="120"/>
    <x v="4"/>
  </r>
  <r>
    <s v="I102734"/>
    <s v="C134006"/>
    <x v="1"/>
    <x v="23"/>
    <x v="0"/>
    <n v="5"/>
    <x v="0"/>
    <x v="1"/>
    <x v="237"/>
    <x v="3"/>
  </r>
  <r>
    <s v="I102735"/>
    <s v="C662013"/>
    <x v="1"/>
    <x v="1"/>
    <x v="5"/>
    <n v="4"/>
    <x v="19"/>
    <x v="1"/>
    <x v="443"/>
    <x v="4"/>
  </r>
  <r>
    <s v="I102737"/>
    <s v="C112982"/>
    <x v="1"/>
    <x v="17"/>
    <x v="3"/>
    <n v="3"/>
    <x v="39"/>
    <x v="0"/>
    <x v="547"/>
    <x v="2"/>
  </r>
  <r>
    <s v="I102751"/>
    <s v="C224224"/>
    <x v="1"/>
    <x v="3"/>
    <x v="3"/>
    <n v="2"/>
    <x v="35"/>
    <x v="2"/>
    <x v="474"/>
    <x v="3"/>
  </r>
  <r>
    <s v="I102754"/>
    <s v="C760072"/>
    <x v="1"/>
    <x v="38"/>
    <x v="5"/>
    <n v="2"/>
    <x v="18"/>
    <x v="0"/>
    <x v="521"/>
    <x v="0"/>
  </r>
  <r>
    <s v="I102758"/>
    <s v="C778349"/>
    <x v="1"/>
    <x v="2"/>
    <x v="4"/>
    <n v="1"/>
    <x v="14"/>
    <x v="0"/>
    <x v="271"/>
    <x v="7"/>
  </r>
  <r>
    <s v="I102759"/>
    <s v="C174415"/>
    <x v="1"/>
    <x v="44"/>
    <x v="0"/>
    <n v="2"/>
    <x v="2"/>
    <x v="2"/>
    <x v="34"/>
    <x v="2"/>
  </r>
  <r>
    <s v="I102760"/>
    <s v="C158547"/>
    <x v="1"/>
    <x v="14"/>
    <x v="4"/>
    <n v="1"/>
    <x v="14"/>
    <x v="2"/>
    <x v="242"/>
    <x v="1"/>
  </r>
  <r>
    <s v="I102761"/>
    <s v="C333330"/>
    <x v="1"/>
    <x v="26"/>
    <x v="1"/>
    <n v="1"/>
    <x v="28"/>
    <x v="0"/>
    <x v="548"/>
    <x v="2"/>
  </r>
  <r>
    <s v="I102764"/>
    <s v="C102832"/>
    <x v="1"/>
    <x v="35"/>
    <x v="0"/>
    <n v="3"/>
    <x v="12"/>
    <x v="2"/>
    <x v="549"/>
    <x v="7"/>
  </r>
  <r>
    <s v="I102766"/>
    <s v="C200431"/>
    <x v="0"/>
    <x v="42"/>
    <x v="2"/>
    <n v="2"/>
    <x v="36"/>
    <x v="1"/>
    <x v="449"/>
    <x v="0"/>
  </r>
  <r>
    <s v="I102767"/>
    <s v="C203666"/>
    <x v="1"/>
    <x v="28"/>
    <x v="1"/>
    <n v="5"/>
    <x v="1"/>
    <x v="2"/>
    <x v="441"/>
    <x v="1"/>
  </r>
  <r>
    <s v="I102773"/>
    <s v="C287506"/>
    <x v="1"/>
    <x v="2"/>
    <x v="1"/>
    <n v="1"/>
    <x v="28"/>
    <x v="2"/>
    <x v="3"/>
    <x v="5"/>
  </r>
  <r>
    <s v="I102776"/>
    <s v="C214209"/>
    <x v="1"/>
    <x v="39"/>
    <x v="0"/>
    <n v="4"/>
    <x v="23"/>
    <x v="0"/>
    <x v="161"/>
    <x v="3"/>
  </r>
  <r>
    <s v="I102782"/>
    <s v="C105352"/>
    <x v="1"/>
    <x v="50"/>
    <x v="6"/>
    <n v="5"/>
    <x v="26"/>
    <x v="0"/>
    <x v="550"/>
    <x v="2"/>
  </r>
  <r>
    <s v="I102783"/>
    <s v="C816576"/>
    <x v="1"/>
    <x v="6"/>
    <x v="4"/>
    <n v="1"/>
    <x v="14"/>
    <x v="0"/>
    <x v="551"/>
    <x v="9"/>
  </r>
  <r>
    <s v="I102786"/>
    <s v="C969271"/>
    <x v="1"/>
    <x v="2"/>
    <x v="0"/>
    <n v="2"/>
    <x v="2"/>
    <x v="0"/>
    <x v="108"/>
    <x v="0"/>
  </r>
  <r>
    <s v="I102790"/>
    <s v="C193288"/>
    <x v="1"/>
    <x v="10"/>
    <x v="0"/>
    <n v="5"/>
    <x v="0"/>
    <x v="1"/>
    <x v="552"/>
    <x v="8"/>
  </r>
  <r>
    <s v="I102792"/>
    <s v="C766287"/>
    <x v="0"/>
    <x v="2"/>
    <x v="6"/>
    <n v="1"/>
    <x v="38"/>
    <x v="2"/>
    <x v="128"/>
    <x v="5"/>
  </r>
  <r>
    <s v="I102797"/>
    <s v="C129206"/>
    <x v="0"/>
    <x v="12"/>
    <x v="1"/>
    <n v="2"/>
    <x v="25"/>
    <x v="2"/>
    <x v="76"/>
    <x v="2"/>
  </r>
  <r>
    <s v="I102799"/>
    <s v="C704920"/>
    <x v="0"/>
    <x v="32"/>
    <x v="5"/>
    <n v="5"/>
    <x v="22"/>
    <x v="1"/>
    <x v="463"/>
    <x v="1"/>
  </r>
  <r>
    <s v="I102800"/>
    <s v="C211156"/>
    <x v="1"/>
    <x v="42"/>
    <x v="5"/>
    <n v="1"/>
    <x v="9"/>
    <x v="2"/>
    <x v="495"/>
    <x v="1"/>
  </r>
  <r>
    <s v="I102801"/>
    <s v="C288748"/>
    <x v="1"/>
    <x v="30"/>
    <x v="0"/>
    <n v="1"/>
    <x v="5"/>
    <x v="2"/>
    <x v="313"/>
    <x v="3"/>
  </r>
  <r>
    <s v="I102802"/>
    <s v="C107887"/>
    <x v="1"/>
    <x v="39"/>
    <x v="6"/>
    <n v="3"/>
    <x v="10"/>
    <x v="1"/>
    <x v="504"/>
    <x v="4"/>
  </r>
  <r>
    <s v="I102818"/>
    <s v="C156505"/>
    <x v="0"/>
    <x v="36"/>
    <x v="7"/>
    <n v="1"/>
    <x v="34"/>
    <x v="2"/>
    <x v="507"/>
    <x v="0"/>
  </r>
  <r>
    <s v="I102819"/>
    <s v="C309720"/>
    <x v="0"/>
    <x v="49"/>
    <x v="4"/>
    <n v="2"/>
    <x v="20"/>
    <x v="0"/>
    <x v="553"/>
    <x v="4"/>
  </r>
  <r>
    <s v="I102824"/>
    <s v="C194938"/>
    <x v="0"/>
    <x v="18"/>
    <x v="0"/>
    <n v="5"/>
    <x v="0"/>
    <x v="1"/>
    <x v="554"/>
    <x v="9"/>
  </r>
  <r>
    <s v="I102825"/>
    <s v="C150885"/>
    <x v="1"/>
    <x v="0"/>
    <x v="0"/>
    <n v="4"/>
    <x v="23"/>
    <x v="0"/>
    <x v="496"/>
    <x v="3"/>
  </r>
  <r>
    <s v="I102832"/>
    <s v="C146777"/>
    <x v="1"/>
    <x v="42"/>
    <x v="5"/>
    <n v="2"/>
    <x v="18"/>
    <x v="0"/>
    <x v="293"/>
    <x v="9"/>
  </r>
  <r>
    <s v="I102836"/>
    <s v="C279148"/>
    <x v="0"/>
    <x v="14"/>
    <x v="2"/>
    <n v="3"/>
    <x v="3"/>
    <x v="1"/>
    <x v="224"/>
    <x v="2"/>
  </r>
  <r>
    <s v="I102837"/>
    <s v="C320088"/>
    <x v="1"/>
    <x v="10"/>
    <x v="0"/>
    <n v="3"/>
    <x v="12"/>
    <x v="0"/>
    <x v="185"/>
    <x v="5"/>
  </r>
  <r>
    <s v="I102840"/>
    <s v="C161257"/>
    <x v="1"/>
    <x v="9"/>
    <x v="7"/>
    <n v="4"/>
    <x v="16"/>
    <x v="1"/>
    <x v="555"/>
    <x v="7"/>
  </r>
  <r>
    <s v="I102843"/>
    <s v="C235737"/>
    <x v="1"/>
    <x v="23"/>
    <x v="4"/>
    <n v="5"/>
    <x v="24"/>
    <x v="0"/>
    <x v="550"/>
    <x v="3"/>
  </r>
  <r>
    <s v="I102845"/>
    <s v="C175442"/>
    <x v="1"/>
    <x v="35"/>
    <x v="6"/>
    <n v="4"/>
    <x v="32"/>
    <x v="0"/>
    <x v="556"/>
    <x v="3"/>
  </r>
  <r>
    <s v="I102847"/>
    <s v="C123536"/>
    <x v="0"/>
    <x v="50"/>
    <x v="6"/>
    <n v="3"/>
    <x v="10"/>
    <x v="1"/>
    <x v="66"/>
    <x v="5"/>
  </r>
  <r>
    <s v="I102848"/>
    <s v="C252901"/>
    <x v="1"/>
    <x v="40"/>
    <x v="5"/>
    <n v="1"/>
    <x v="9"/>
    <x v="1"/>
    <x v="243"/>
    <x v="5"/>
  </r>
  <r>
    <s v="I102849"/>
    <s v="C251633"/>
    <x v="1"/>
    <x v="30"/>
    <x v="0"/>
    <n v="4"/>
    <x v="23"/>
    <x v="2"/>
    <x v="2"/>
    <x v="2"/>
  </r>
  <r>
    <s v="I102855"/>
    <s v="C159521"/>
    <x v="1"/>
    <x v="4"/>
    <x v="0"/>
    <n v="2"/>
    <x v="2"/>
    <x v="0"/>
    <x v="67"/>
    <x v="9"/>
  </r>
  <r>
    <s v="I102873"/>
    <s v="C994454"/>
    <x v="1"/>
    <x v="11"/>
    <x v="7"/>
    <n v="4"/>
    <x v="16"/>
    <x v="2"/>
    <x v="26"/>
    <x v="2"/>
  </r>
  <r>
    <s v="I102876"/>
    <s v="C283599"/>
    <x v="1"/>
    <x v="5"/>
    <x v="1"/>
    <n v="3"/>
    <x v="8"/>
    <x v="2"/>
    <x v="557"/>
    <x v="2"/>
  </r>
  <r>
    <s v="I102877"/>
    <s v="C505213"/>
    <x v="1"/>
    <x v="51"/>
    <x v="7"/>
    <n v="4"/>
    <x v="16"/>
    <x v="0"/>
    <x v="558"/>
    <x v="7"/>
  </r>
  <r>
    <s v="I102879"/>
    <s v="C380202"/>
    <x v="1"/>
    <x v="46"/>
    <x v="4"/>
    <n v="4"/>
    <x v="7"/>
    <x v="1"/>
    <x v="559"/>
    <x v="8"/>
  </r>
  <r>
    <s v="I102881"/>
    <s v="C482255"/>
    <x v="1"/>
    <x v="8"/>
    <x v="0"/>
    <n v="2"/>
    <x v="2"/>
    <x v="0"/>
    <x v="267"/>
    <x v="2"/>
  </r>
  <r>
    <s v="I102883"/>
    <s v="C114509"/>
    <x v="1"/>
    <x v="39"/>
    <x v="4"/>
    <n v="5"/>
    <x v="24"/>
    <x v="0"/>
    <x v="560"/>
    <x v="5"/>
  </r>
  <r>
    <s v="I102884"/>
    <s v="C121907"/>
    <x v="1"/>
    <x v="22"/>
    <x v="7"/>
    <n v="5"/>
    <x v="33"/>
    <x v="2"/>
    <x v="202"/>
    <x v="3"/>
  </r>
  <r>
    <s v="I102885"/>
    <s v="C216254"/>
    <x v="0"/>
    <x v="41"/>
    <x v="4"/>
    <n v="5"/>
    <x v="24"/>
    <x v="0"/>
    <x v="280"/>
    <x v="5"/>
  </r>
  <r>
    <s v="I102886"/>
    <s v="C896170"/>
    <x v="1"/>
    <x v="19"/>
    <x v="0"/>
    <n v="1"/>
    <x v="5"/>
    <x v="2"/>
    <x v="561"/>
    <x v="6"/>
  </r>
  <r>
    <s v="I102893"/>
    <s v="C264654"/>
    <x v="0"/>
    <x v="43"/>
    <x v="1"/>
    <n v="5"/>
    <x v="1"/>
    <x v="2"/>
    <x v="562"/>
    <x v="5"/>
  </r>
  <r>
    <s v="I102902"/>
    <s v="C603291"/>
    <x v="0"/>
    <x v="38"/>
    <x v="7"/>
    <n v="1"/>
    <x v="34"/>
    <x v="0"/>
    <x v="90"/>
    <x v="1"/>
  </r>
  <r>
    <s v="I102905"/>
    <s v="C318145"/>
    <x v="1"/>
    <x v="41"/>
    <x v="4"/>
    <n v="5"/>
    <x v="24"/>
    <x v="2"/>
    <x v="402"/>
    <x v="5"/>
  </r>
  <r>
    <s v="I102906"/>
    <s v="C219499"/>
    <x v="1"/>
    <x v="28"/>
    <x v="7"/>
    <n v="3"/>
    <x v="29"/>
    <x v="0"/>
    <x v="15"/>
    <x v="5"/>
  </r>
  <r>
    <s v="I102917"/>
    <s v="C262929"/>
    <x v="0"/>
    <x v="40"/>
    <x v="0"/>
    <n v="3"/>
    <x v="12"/>
    <x v="1"/>
    <x v="225"/>
    <x v="3"/>
  </r>
  <r>
    <s v="I102923"/>
    <s v="C148421"/>
    <x v="0"/>
    <x v="7"/>
    <x v="7"/>
    <n v="4"/>
    <x v="16"/>
    <x v="1"/>
    <x v="563"/>
    <x v="7"/>
  </r>
  <r>
    <s v="I102925"/>
    <s v="C217020"/>
    <x v="1"/>
    <x v="18"/>
    <x v="1"/>
    <n v="5"/>
    <x v="1"/>
    <x v="2"/>
    <x v="564"/>
    <x v="3"/>
  </r>
  <r>
    <s v="I102926"/>
    <s v="C319883"/>
    <x v="1"/>
    <x v="19"/>
    <x v="4"/>
    <n v="1"/>
    <x v="14"/>
    <x v="0"/>
    <x v="294"/>
    <x v="8"/>
  </r>
  <r>
    <s v="I102928"/>
    <s v="C211300"/>
    <x v="0"/>
    <x v="19"/>
    <x v="1"/>
    <n v="1"/>
    <x v="28"/>
    <x v="2"/>
    <x v="2"/>
    <x v="2"/>
  </r>
  <r>
    <s v="I102931"/>
    <s v="C318182"/>
    <x v="0"/>
    <x v="46"/>
    <x v="5"/>
    <n v="5"/>
    <x v="22"/>
    <x v="1"/>
    <x v="4"/>
    <x v="2"/>
  </r>
  <r>
    <s v="I102935"/>
    <s v="C184509"/>
    <x v="1"/>
    <x v="40"/>
    <x v="1"/>
    <n v="1"/>
    <x v="28"/>
    <x v="0"/>
    <x v="125"/>
    <x v="2"/>
  </r>
  <r>
    <s v="I102939"/>
    <s v="C100110"/>
    <x v="1"/>
    <x v="44"/>
    <x v="0"/>
    <n v="5"/>
    <x v="0"/>
    <x v="2"/>
    <x v="313"/>
    <x v="3"/>
  </r>
  <r>
    <s v="I102941"/>
    <s v="C189039"/>
    <x v="1"/>
    <x v="22"/>
    <x v="1"/>
    <n v="2"/>
    <x v="25"/>
    <x v="0"/>
    <x v="418"/>
    <x v="3"/>
  </r>
  <r>
    <s v="I102944"/>
    <s v="C105025"/>
    <x v="0"/>
    <x v="32"/>
    <x v="1"/>
    <n v="2"/>
    <x v="25"/>
    <x v="0"/>
    <x v="394"/>
    <x v="6"/>
  </r>
  <r>
    <s v="I102945"/>
    <s v="C287896"/>
    <x v="1"/>
    <x v="37"/>
    <x v="0"/>
    <n v="1"/>
    <x v="5"/>
    <x v="0"/>
    <x v="274"/>
    <x v="3"/>
  </r>
  <r>
    <s v="I102946"/>
    <s v="C182144"/>
    <x v="1"/>
    <x v="34"/>
    <x v="0"/>
    <n v="3"/>
    <x v="12"/>
    <x v="0"/>
    <x v="528"/>
    <x v="1"/>
  </r>
  <r>
    <s v="I102954"/>
    <s v="C155342"/>
    <x v="0"/>
    <x v="13"/>
    <x v="4"/>
    <n v="4"/>
    <x v="7"/>
    <x v="0"/>
    <x v="565"/>
    <x v="2"/>
  </r>
  <r>
    <s v="I102958"/>
    <s v="C332958"/>
    <x v="1"/>
    <x v="47"/>
    <x v="0"/>
    <n v="3"/>
    <x v="12"/>
    <x v="2"/>
    <x v="566"/>
    <x v="9"/>
  </r>
  <r>
    <s v="I102960"/>
    <s v="C131004"/>
    <x v="1"/>
    <x v="37"/>
    <x v="3"/>
    <n v="3"/>
    <x v="39"/>
    <x v="2"/>
    <x v="45"/>
    <x v="2"/>
  </r>
  <r>
    <s v="I102964"/>
    <s v="C321846"/>
    <x v="1"/>
    <x v="30"/>
    <x v="5"/>
    <n v="2"/>
    <x v="18"/>
    <x v="0"/>
    <x v="417"/>
    <x v="1"/>
  </r>
  <r>
    <s v="I102969"/>
    <s v="C166525"/>
    <x v="1"/>
    <x v="34"/>
    <x v="1"/>
    <n v="2"/>
    <x v="25"/>
    <x v="1"/>
    <x v="23"/>
    <x v="2"/>
  </r>
  <r>
    <s v="I102977"/>
    <s v="C316330"/>
    <x v="1"/>
    <x v="13"/>
    <x v="6"/>
    <n v="4"/>
    <x v="32"/>
    <x v="2"/>
    <x v="567"/>
    <x v="7"/>
  </r>
  <r>
    <s v="I102979"/>
    <s v="C628682"/>
    <x v="1"/>
    <x v="2"/>
    <x v="6"/>
    <n v="3"/>
    <x v="10"/>
    <x v="2"/>
    <x v="452"/>
    <x v="2"/>
  </r>
  <r>
    <s v="I102985"/>
    <s v="C191792"/>
    <x v="0"/>
    <x v="41"/>
    <x v="6"/>
    <n v="2"/>
    <x v="17"/>
    <x v="1"/>
    <x v="457"/>
    <x v="2"/>
  </r>
  <r>
    <s v="I102989"/>
    <s v="C273531"/>
    <x v="1"/>
    <x v="3"/>
    <x v="5"/>
    <n v="2"/>
    <x v="18"/>
    <x v="0"/>
    <x v="568"/>
    <x v="8"/>
  </r>
  <r>
    <s v="I102990"/>
    <s v="C296573"/>
    <x v="0"/>
    <x v="39"/>
    <x v="5"/>
    <n v="5"/>
    <x v="22"/>
    <x v="2"/>
    <x v="552"/>
    <x v="5"/>
  </r>
  <r>
    <s v="I102991"/>
    <s v="C397967"/>
    <x v="1"/>
    <x v="44"/>
    <x v="2"/>
    <n v="3"/>
    <x v="3"/>
    <x v="2"/>
    <x v="569"/>
    <x v="3"/>
  </r>
  <r>
    <s v="I102993"/>
    <s v="C142692"/>
    <x v="1"/>
    <x v="3"/>
    <x v="0"/>
    <n v="2"/>
    <x v="2"/>
    <x v="2"/>
    <x v="69"/>
    <x v="6"/>
  </r>
  <r>
    <s v="I102994"/>
    <s v="C262644"/>
    <x v="1"/>
    <x v="30"/>
    <x v="5"/>
    <n v="3"/>
    <x v="27"/>
    <x v="1"/>
    <x v="350"/>
    <x v="2"/>
  </r>
  <r>
    <s v="I102999"/>
    <s v="C295992"/>
    <x v="0"/>
    <x v="37"/>
    <x v="7"/>
    <n v="3"/>
    <x v="29"/>
    <x v="2"/>
    <x v="570"/>
    <x v="3"/>
  </r>
  <r>
    <s v="I103002"/>
    <s v="C245635"/>
    <x v="1"/>
    <x v="34"/>
    <x v="4"/>
    <n v="2"/>
    <x v="20"/>
    <x v="2"/>
    <x v="510"/>
    <x v="1"/>
  </r>
  <r>
    <s v="I103004"/>
    <s v="C560575"/>
    <x v="0"/>
    <x v="32"/>
    <x v="4"/>
    <n v="1"/>
    <x v="14"/>
    <x v="0"/>
    <x v="571"/>
    <x v="7"/>
  </r>
  <r>
    <s v="I103006"/>
    <s v="C258085"/>
    <x v="0"/>
    <x v="35"/>
    <x v="3"/>
    <n v="4"/>
    <x v="4"/>
    <x v="0"/>
    <x v="552"/>
    <x v="8"/>
  </r>
  <r>
    <s v="I103010"/>
    <s v="C260917"/>
    <x v="1"/>
    <x v="50"/>
    <x v="5"/>
    <n v="1"/>
    <x v="9"/>
    <x v="0"/>
    <x v="572"/>
    <x v="3"/>
  </r>
  <r>
    <s v="I103014"/>
    <s v="C185481"/>
    <x v="1"/>
    <x v="36"/>
    <x v="0"/>
    <n v="4"/>
    <x v="23"/>
    <x v="1"/>
    <x v="483"/>
    <x v="9"/>
  </r>
  <r>
    <s v="I103016"/>
    <s v="C633152"/>
    <x v="1"/>
    <x v="19"/>
    <x v="0"/>
    <n v="4"/>
    <x v="23"/>
    <x v="2"/>
    <x v="206"/>
    <x v="6"/>
  </r>
  <r>
    <s v="I103019"/>
    <s v="C335724"/>
    <x v="0"/>
    <x v="19"/>
    <x v="5"/>
    <n v="2"/>
    <x v="18"/>
    <x v="0"/>
    <x v="420"/>
    <x v="6"/>
  </r>
  <r>
    <s v="I103020"/>
    <s v="C327792"/>
    <x v="1"/>
    <x v="18"/>
    <x v="2"/>
    <n v="4"/>
    <x v="21"/>
    <x v="0"/>
    <x v="260"/>
    <x v="2"/>
  </r>
  <r>
    <s v="I103021"/>
    <s v="C325728"/>
    <x v="0"/>
    <x v="21"/>
    <x v="2"/>
    <n v="1"/>
    <x v="37"/>
    <x v="1"/>
    <x v="437"/>
    <x v="2"/>
  </r>
  <r>
    <s v="I103026"/>
    <s v="C142823"/>
    <x v="1"/>
    <x v="14"/>
    <x v="5"/>
    <n v="1"/>
    <x v="9"/>
    <x v="0"/>
    <x v="573"/>
    <x v="1"/>
  </r>
  <r>
    <s v="I103028"/>
    <s v="C243168"/>
    <x v="1"/>
    <x v="39"/>
    <x v="7"/>
    <n v="4"/>
    <x v="16"/>
    <x v="2"/>
    <x v="109"/>
    <x v="4"/>
  </r>
  <r>
    <s v="I103029"/>
    <s v="C213516"/>
    <x v="1"/>
    <x v="5"/>
    <x v="7"/>
    <n v="5"/>
    <x v="33"/>
    <x v="0"/>
    <x v="257"/>
    <x v="2"/>
  </r>
  <r>
    <s v="I103031"/>
    <s v="C228178"/>
    <x v="1"/>
    <x v="1"/>
    <x v="7"/>
    <n v="5"/>
    <x v="33"/>
    <x v="0"/>
    <x v="574"/>
    <x v="5"/>
  </r>
  <r>
    <s v="I103032"/>
    <s v="C317778"/>
    <x v="0"/>
    <x v="0"/>
    <x v="0"/>
    <n v="2"/>
    <x v="2"/>
    <x v="1"/>
    <x v="272"/>
    <x v="5"/>
  </r>
  <r>
    <s v="I103033"/>
    <s v="C960822"/>
    <x v="1"/>
    <x v="25"/>
    <x v="3"/>
    <n v="2"/>
    <x v="35"/>
    <x v="1"/>
    <x v="531"/>
    <x v="4"/>
  </r>
  <r>
    <s v="I103035"/>
    <s v="C155712"/>
    <x v="0"/>
    <x v="10"/>
    <x v="0"/>
    <n v="5"/>
    <x v="0"/>
    <x v="1"/>
    <x v="132"/>
    <x v="3"/>
  </r>
  <r>
    <s v="I103036"/>
    <s v="C992589"/>
    <x v="1"/>
    <x v="9"/>
    <x v="1"/>
    <n v="2"/>
    <x v="25"/>
    <x v="0"/>
    <x v="359"/>
    <x v="9"/>
  </r>
  <r>
    <s v="I103044"/>
    <s v="C367741"/>
    <x v="1"/>
    <x v="23"/>
    <x v="0"/>
    <n v="5"/>
    <x v="0"/>
    <x v="0"/>
    <x v="273"/>
    <x v="1"/>
  </r>
  <r>
    <s v="I103045"/>
    <s v="C267316"/>
    <x v="1"/>
    <x v="34"/>
    <x v="5"/>
    <n v="1"/>
    <x v="9"/>
    <x v="0"/>
    <x v="26"/>
    <x v="3"/>
  </r>
  <r>
    <s v="I103046"/>
    <s v="C208145"/>
    <x v="1"/>
    <x v="32"/>
    <x v="4"/>
    <n v="1"/>
    <x v="14"/>
    <x v="2"/>
    <x v="150"/>
    <x v="0"/>
  </r>
  <r>
    <s v="I103055"/>
    <s v="C315737"/>
    <x v="0"/>
    <x v="16"/>
    <x v="1"/>
    <n v="4"/>
    <x v="30"/>
    <x v="2"/>
    <x v="128"/>
    <x v="3"/>
  </r>
  <r>
    <s v="I103056"/>
    <s v="C258161"/>
    <x v="0"/>
    <x v="37"/>
    <x v="4"/>
    <n v="4"/>
    <x v="7"/>
    <x v="2"/>
    <x v="4"/>
    <x v="2"/>
  </r>
  <r>
    <s v="I103059"/>
    <s v="C264391"/>
    <x v="1"/>
    <x v="3"/>
    <x v="1"/>
    <n v="1"/>
    <x v="28"/>
    <x v="1"/>
    <x v="293"/>
    <x v="3"/>
  </r>
  <r>
    <s v="I103061"/>
    <s v="C603549"/>
    <x v="1"/>
    <x v="35"/>
    <x v="0"/>
    <n v="2"/>
    <x v="2"/>
    <x v="0"/>
    <x v="360"/>
    <x v="2"/>
  </r>
  <r>
    <s v="I103062"/>
    <s v="C232094"/>
    <x v="1"/>
    <x v="49"/>
    <x v="4"/>
    <n v="5"/>
    <x v="24"/>
    <x v="2"/>
    <x v="477"/>
    <x v="5"/>
  </r>
  <r>
    <s v="I103064"/>
    <s v="C274479"/>
    <x v="1"/>
    <x v="21"/>
    <x v="7"/>
    <n v="2"/>
    <x v="11"/>
    <x v="0"/>
    <x v="372"/>
    <x v="3"/>
  </r>
  <r>
    <s v="I103065"/>
    <s v="C205710"/>
    <x v="0"/>
    <x v="24"/>
    <x v="2"/>
    <n v="2"/>
    <x v="36"/>
    <x v="2"/>
    <x v="300"/>
    <x v="2"/>
  </r>
  <r>
    <s v="I103066"/>
    <s v="C340003"/>
    <x v="0"/>
    <x v="43"/>
    <x v="0"/>
    <n v="1"/>
    <x v="5"/>
    <x v="0"/>
    <x v="203"/>
    <x v="2"/>
  </r>
  <r>
    <s v="I103067"/>
    <s v="C210847"/>
    <x v="0"/>
    <x v="39"/>
    <x v="7"/>
    <n v="3"/>
    <x v="29"/>
    <x v="1"/>
    <x v="416"/>
    <x v="5"/>
  </r>
  <r>
    <s v="I103068"/>
    <s v="C115494"/>
    <x v="0"/>
    <x v="30"/>
    <x v="0"/>
    <n v="2"/>
    <x v="2"/>
    <x v="1"/>
    <x v="575"/>
    <x v="5"/>
  </r>
  <r>
    <s v="I103070"/>
    <s v="C754112"/>
    <x v="0"/>
    <x v="4"/>
    <x v="1"/>
    <n v="2"/>
    <x v="25"/>
    <x v="0"/>
    <x v="20"/>
    <x v="5"/>
  </r>
  <r>
    <s v="I103071"/>
    <s v="C243412"/>
    <x v="0"/>
    <x v="46"/>
    <x v="4"/>
    <n v="5"/>
    <x v="24"/>
    <x v="0"/>
    <x v="576"/>
    <x v="2"/>
  </r>
  <r>
    <s v="I103072"/>
    <s v="C170969"/>
    <x v="0"/>
    <x v="28"/>
    <x v="1"/>
    <n v="4"/>
    <x v="30"/>
    <x v="0"/>
    <x v="577"/>
    <x v="6"/>
  </r>
  <r>
    <s v="I103076"/>
    <s v="C288406"/>
    <x v="1"/>
    <x v="29"/>
    <x v="0"/>
    <n v="4"/>
    <x v="23"/>
    <x v="1"/>
    <x v="266"/>
    <x v="1"/>
  </r>
  <r>
    <s v="I103081"/>
    <s v="C119424"/>
    <x v="1"/>
    <x v="17"/>
    <x v="4"/>
    <n v="2"/>
    <x v="20"/>
    <x v="0"/>
    <x v="578"/>
    <x v="2"/>
  </r>
  <r>
    <s v="I103082"/>
    <s v="C286580"/>
    <x v="1"/>
    <x v="32"/>
    <x v="2"/>
    <n v="3"/>
    <x v="3"/>
    <x v="2"/>
    <x v="70"/>
    <x v="3"/>
  </r>
  <r>
    <s v="I103083"/>
    <s v="C936888"/>
    <x v="1"/>
    <x v="23"/>
    <x v="1"/>
    <n v="4"/>
    <x v="30"/>
    <x v="0"/>
    <x v="579"/>
    <x v="9"/>
  </r>
  <r>
    <s v="I103085"/>
    <s v="C252697"/>
    <x v="1"/>
    <x v="18"/>
    <x v="0"/>
    <n v="2"/>
    <x v="2"/>
    <x v="2"/>
    <x v="236"/>
    <x v="5"/>
  </r>
  <r>
    <s v="I103086"/>
    <s v="C285452"/>
    <x v="1"/>
    <x v="12"/>
    <x v="1"/>
    <n v="4"/>
    <x v="30"/>
    <x v="0"/>
    <x v="162"/>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I100008"/>
    <s v="C199951"/>
    <x v="0"/>
    <n v="65"/>
    <x v="0"/>
    <x v="0"/>
    <n v="5"/>
    <n v="1500.4"/>
    <s v="Cash"/>
    <d v="2022-07-10T00:00:00"/>
    <x v="0"/>
  </r>
  <r>
    <s v="I100014"/>
    <s v="C138893"/>
    <x v="0"/>
    <n v="55"/>
    <x v="1"/>
    <x v="1"/>
    <n v="5"/>
    <n v="203.3"/>
    <s v="Cash"/>
    <d v="2021-06-18T00:00:00"/>
    <x v="1"/>
  </r>
  <r>
    <s v="I100015"/>
    <s v="C132779"/>
    <x v="1"/>
    <n v="35"/>
    <x v="2"/>
    <x v="0"/>
    <n v="2"/>
    <n v="600.16"/>
    <s v="Debit Card"/>
    <d v="2021-03-04T00:00:00"/>
    <x v="2"/>
  </r>
  <r>
    <s v="I100024"/>
    <s v="C244411"/>
    <x v="1"/>
    <n v="67"/>
    <x v="0"/>
    <x v="2"/>
    <n v="3"/>
    <n v="45.45"/>
    <s v="Credit Card"/>
    <d v="2023-01-05T00:00:00"/>
    <x v="0"/>
  </r>
  <r>
    <s v="I100027"/>
    <s v="C150002"/>
    <x v="1"/>
    <n v="19"/>
    <x v="3"/>
    <x v="3"/>
    <n v="4"/>
    <n v="4200"/>
    <s v="Cash"/>
    <d v="2022-05-18T00:00:00"/>
    <x v="2"/>
  </r>
  <r>
    <s v="I100028"/>
    <s v="C325553"/>
    <x v="1"/>
    <n v="18"/>
    <x v="3"/>
    <x v="0"/>
    <n v="1"/>
    <n v="300.08"/>
    <s v="Credit Card"/>
    <d v="2021-06-19T00:00:00"/>
    <x v="3"/>
  </r>
  <r>
    <s v="I100031"/>
    <s v="C378408"/>
    <x v="0"/>
    <n v="18"/>
    <x v="3"/>
    <x v="4"/>
    <n v="3"/>
    <n v="15.69"/>
    <s v="Credit Card"/>
    <d v="2022-06-23T00:00:00"/>
    <x v="0"/>
  </r>
  <r>
    <s v="I100033"/>
    <s v="C278721"/>
    <x v="0"/>
    <n v="56"/>
    <x v="1"/>
    <x v="4"/>
    <n v="4"/>
    <n v="20.92"/>
    <s v="Credit Card"/>
    <d v="2021-10-19T00:00:00"/>
    <x v="4"/>
  </r>
  <r>
    <s v="I100037"/>
    <s v="C122873"/>
    <x v="1"/>
    <n v="63"/>
    <x v="0"/>
    <x v="0"/>
    <n v="1"/>
    <n v="300.08"/>
    <s v="Debit Card"/>
    <d v="2021-06-06T00:00:00"/>
    <x v="5"/>
  </r>
  <r>
    <s v="I100041"/>
    <s v="C326923"/>
    <x v="1"/>
    <n v="50"/>
    <x v="1"/>
    <x v="1"/>
    <n v="3"/>
    <n v="121.98"/>
    <s v="Cash"/>
    <d v="2022-07-24T00:00:00"/>
    <x v="2"/>
  </r>
  <r>
    <s v="I100049"/>
    <s v="C297871"/>
    <x v="0"/>
    <n v="39"/>
    <x v="4"/>
    <x v="5"/>
    <n v="1"/>
    <n v="600.16999999999996"/>
    <s v="Debit Card"/>
    <d v="2021-12-26T00:00:00"/>
    <x v="2"/>
  </r>
  <r>
    <s v="I100053"/>
    <s v="C217294"/>
    <x v="1"/>
    <n v="21"/>
    <x v="3"/>
    <x v="1"/>
    <n v="3"/>
    <n v="121.98"/>
    <s v="Credit Card"/>
    <d v="2023-01-02T00:00:00"/>
    <x v="3"/>
  </r>
  <r>
    <s v="I100057"/>
    <s v="C225062"/>
    <x v="1"/>
    <n v="25"/>
    <x v="3"/>
    <x v="0"/>
    <n v="2"/>
    <n v="600.16"/>
    <s v="Credit Card"/>
    <d v="2021-10-13T00:00:00"/>
    <x v="6"/>
  </r>
  <r>
    <s v="I100059"/>
    <s v="C292544"/>
    <x v="1"/>
    <n v="52"/>
    <x v="1"/>
    <x v="6"/>
    <n v="3"/>
    <n v="35.19"/>
    <s v="Debit Card"/>
    <d v="2021-06-14T00:00:00"/>
    <x v="3"/>
  </r>
  <r>
    <s v="I100068"/>
    <s v="C647308"/>
    <x v="1"/>
    <n v="52"/>
    <x v="1"/>
    <x v="7"/>
    <n v="2"/>
    <n v="71.680000000000007"/>
    <s v="Credit Card"/>
    <d v="2021-08-13T00:00:00"/>
    <x v="7"/>
  </r>
  <r>
    <s v="I100071"/>
    <s v="C522050"/>
    <x v="1"/>
    <n v="30"/>
    <x v="2"/>
    <x v="0"/>
    <n v="3"/>
    <n v="900.24"/>
    <s v="Cash"/>
    <d v="2021-10-16T00:00:00"/>
    <x v="2"/>
  </r>
  <r>
    <s v="I100072"/>
    <s v="C143773"/>
    <x v="0"/>
    <n v="64"/>
    <x v="0"/>
    <x v="3"/>
    <n v="5"/>
    <n v="5250"/>
    <s v="Debit Card"/>
    <d v="2021-08-10T00:00:00"/>
    <x v="7"/>
  </r>
  <r>
    <s v="I100077"/>
    <s v="C356550"/>
    <x v="0"/>
    <n v="46"/>
    <x v="1"/>
    <x v="4"/>
    <n v="1"/>
    <n v="5.23"/>
    <s v="Credit Card"/>
    <d v="2021-02-03T00:00:00"/>
    <x v="0"/>
  </r>
  <r>
    <s v="I100078"/>
    <s v="C272831"/>
    <x v="0"/>
    <n v="46"/>
    <x v="1"/>
    <x v="2"/>
    <n v="5"/>
    <n v="75.75"/>
    <s v="Credit Card"/>
    <d v="2021-07-10T00:00:00"/>
    <x v="2"/>
  </r>
  <r>
    <s v="I100080"/>
    <s v="C696236"/>
    <x v="0"/>
    <n v="55"/>
    <x v="1"/>
    <x v="7"/>
    <n v="4"/>
    <n v="143.36000000000001"/>
    <s v="Credit Card"/>
    <d v="2022-04-26T00:00:00"/>
    <x v="7"/>
  </r>
  <r>
    <s v="I100082"/>
    <s v="C357288"/>
    <x v="1"/>
    <n v="44"/>
    <x v="4"/>
    <x v="6"/>
    <n v="2"/>
    <n v="23.46"/>
    <s v="Cash"/>
    <d v="2021-12-31T00:00:00"/>
    <x v="8"/>
  </r>
  <r>
    <s v="I100084"/>
    <s v="C226369"/>
    <x v="1"/>
    <n v="68"/>
    <x v="0"/>
    <x v="5"/>
    <n v="2"/>
    <n v="1200.3399999999999"/>
    <s v="Credit Card"/>
    <d v="2022-10-09T00:00:00"/>
    <x v="5"/>
  </r>
  <r>
    <s v="I100089"/>
    <s v="C123196"/>
    <x v="1"/>
    <n v="63"/>
    <x v="0"/>
    <x v="0"/>
    <n v="5"/>
    <n v="1500.4"/>
    <s v="Cash"/>
    <d v="2022-03-27T00:00:00"/>
    <x v="0"/>
  </r>
  <r>
    <s v="I100090"/>
    <s v="C801451"/>
    <x v="1"/>
    <n v="27"/>
    <x v="2"/>
    <x v="5"/>
    <n v="4"/>
    <n v="2400.6799999999998"/>
    <s v="Credit Card"/>
    <d v="2021-04-17T00:00:00"/>
    <x v="3"/>
  </r>
  <r>
    <s v="I100094"/>
    <s v="C246470"/>
    <x v="1"/>
    <n v="68"/>
    <x v="0"/>
    <x v="7"/>
    <n v="2"/>
    <n v="71.680000000000007"/>
    <s v="Cash"/>
    <d v="2021-12-18T00:00:00"/>
    <x v="7"/>
  </r>
  <r>
    <s v="I100095"/>
    <s v="C608046"/>
    <x v="0"/>
    <n v="60"/>
    <x v="1"/>
    <x v="0"/>
    <n v="2"/>
    <n v="600.16"/>
    <s v="Cash"/>
    <d v="2021-11-23T00:00:00"/>
    <x v="9"/>
  </r>
  <r>
    <s v="I100097"/>
    <s v="C673123"/>
    <x v="1"/>
    <n v="63"/>
    <x v="0"/>
    <x v="4"/>
    <n v="4"/>
    <n v="20.92"/>
    <s v="Credit Card"/>
    <d v="2022-08-24T00:00:00"/>
    <x v="2"/>
  </r>
  <r>
    <s v="I100098"/>
    <s v="C228071"/>
    <x v="0"/>
    <n v="49"/>
    <x v="1"/>
    <x v="0"/>
    <n v="5"/>
    <n v="1500.4"/>
    <s v="Cash"/>
    <d v="2021-11-16T00:00:00"/>
    <x v="8"/>
  </r>
  <r>
    <s v="I100105"/>
    <s v="C246820"/>
    <x v="0"/>
    <n v="39"/>
    <x v="4"/>
    <x v="4"/>
    <n v="4"/>
    <n v="20.92"/>
    <s v="Debit Card"/>
    <d v="2022-04-15T00:00:00"/>
    <x v="5"/>
  </r>
  <r>
    <s v="I100106"/>
    <s v="C850385"/>
    <x v="0"/>
    <n v="36"/>
    <x v="4"/>
    <x v="4"/>
    <n v="2"/>
    <n v="10.46"/>
    <s v="Credit Card"/>
    <d v="2021-09-12T00:00:00"/>
    <x v="7"/>
  </r>
  <r>
    <s v="I100108"/>
    <s v="C331773"/>
    <x v="1"/>
    <n v="45"/>
    <x v="4"/>
    <x v="2"/>
    <n v="4"/>
    <n v="60.6"/>
    <s v="Credit Card"/>
    <d v="2021-08-06T00:00:00"/>
    <x v="8"/>
  </r>
  <r>
    <s v="I100111"/>
    <s v="C314731"/>
    <x v="1"/>
    <n v="46"/>
    <x v="1"/>
    <x v="0"/>
    <n v="3"/>
    <n v="900.24"/>
    <s v="Debit Card"/>
    <d v="2022-09-13T00:00:00"/>
    <x v="3"/>
  </r>
  <r>
    <s v="I100113"/>
    <s v="C136435"/>
    <x v="0"/>
    <n v="48"/>
    <x v="1"/>
    <x v="0"/>
    <n v="1"/>
    <n v="300.08"/>
    <s v="Credit Card"/>
    <d v="2021-01-31T00:00:00"/>
    <x v="4"/>
  </r>
  <r>
    <s v="I100116"/>
    <s v="C235320"/>
    <x v="1"/>
    <n v="60"/>
    <x v="1"/>
    <x v="1"/>
    <n v="3"/>
    <n v="121.98"/>
    <s v="Cash"/>
    <d v="2022-11-18T00:00:00"/>
    <x v="7"/>
  </r>
  <r>
    <s v="I100126"/>
    <s v="C103405"/>
    <x v="0"/>
    <n v="31"/>
    <x v="2"/>
    <x v="0"/>
    <n v="3"/>
    <n v="900.24"/>
    <s v="Credit Card"/>
    <d v="2022-03-26T00:00:00"/>
    <x v="0"/>
  </r>
  <r>
    <s v="I100127"/>
    <s v="C708853"/>
    <x v="0"/>
    <n v="38"/>
    <x v="4"/>
    <x v="0"/>
    <n v="2"/>
    <n v="600.16"/>
    <s v="Debit Card"/>
    <d v="2021-11-16T00:00:00"/>
    <x v="8"/>
  </r>
  <r>
    <s v="I100128"/>
    <s v="C168282"/>
    <x v="1"/>
    <n v="23"/>
    <x v="3"/>
    <x v="0"/>
    <n v="3"/>
    <n v="900.24"/>
    <s v="Credit Card"/>
    <d v="2022-07-16T00:00:00"/>
    <x v="9"/>
  </r>
  <r>
    <s v="I100137"/>
    <s v="C233463"/>
    <x v="0"/>
    <n v="35"/>
    <x v="2"/>
    <x v="5"/>
    <n v="5"/>
    <n v="3000.85"/>
    <s v="Cash"/>
    <d v="2021-05-16T00:00:00"/>
    <x v="2"/>
  </r>
  <r>
    <s v="I100138"/>
    <s v="C237364"/>
    <x v="0"/>
    <n v="52"/>
    <x v="1"/>
    <x v="0"/>
    <n v="2"/>
    <n v="600.16"/>
    <s v="Cash"/>
    <d v="2021-06-19T00:00:00"/>
    <x v="2"/>
  </r>
  <r>
    <s v="I100142"/>
    <s v="C161659"/>
    <x v="0"/>
    <n v="37"/>
    <x v="4"/>
    <x v="0"/>
    <n v="4"/>
    <n v="1200.32"/>
    <s v="Debit Card"/>
    <d v="2021-08-28T00:00:00"/>
    <x v="7"/>
  </r>
  <r>
    <s v="I100145"/>
    <s v="C153189"/>
    <x v="1"/>
    <n v="20"/>
    <x v="3"/>
    <x v="0"/>
    <n v="5"/>
    <n v="1500.4"/>
    <s v="Debit Card"/>
    <d v="2022-12-10T00:00:00"/>
    <x v="5"/>
  </r>
  <r>
    <s v="I100146"/>
    <s v="C320745"/>
    <x v="1"/>
    <n v="24"/>
    <x v="3"/>
    <x v="5"/>
    <n v="4"/>
    <n v="2400.6799999999998"/>
    <s v="Credit Card"/>
    <d v="2022-04-25T00:00:00"/>
    <x v="0"/>
  </r>
  <r>
    <s v="I100148"/>
    <s v="C200488"/>
    <x v="0"/>
    <n v="52"/>
    <x v="1"/>
    <x v="5"/>
    <n v="4"/>
    <n v="2400.6799999999998"/>
    <s v="Cash"/>
    <d v="2022-04-16T00:00:00"/>
    <x v="4"/>
  </r>
  <r>
    <s v="I100149"/>
    <s v="C193896"/>
    <x v="1"/>
    <n v="65"/>
    <x v="0"/>
    <x v="4"/>
    <n v="5"/>
    <n v="26.15"/>
    <s v="Cash"/>
    <d v="2021-11-17T00:00:00"/>
    <x v="2"/>
  </r>
  <r>
    <s v="I100151"/>
    <s v="C315218"/>
    <x v="0"/>
    <n v="69"/>
    <x v="0"/>
    <x v="0"/>
    <n v="2"/>
    <n v="600.16"/>
    <s v="Cash"/>
    <d v="2021-07-23T00:00:00"/>
    <x v="5"/>
  </r>
  <r>
    <s v="I100152"/>
    <s v="C265676"/>
    <x v="1"/>
    <n v="43"/>
    <x v="4"/>
    <x v="5"/>
    <n v="5"/>
    <n v="3000.85"/>
    <s v="Credit Card"/>
    <d v="2021-02-25T00:00:00"/>
    <x v="2"/>
  </r>
  <r>
    <s v="I100155"/>
    <s v="C312476"/>
    <x v="1"/>
    <n v="30"/>
    <x v="2"/>
    <x v="4"/>
    <n v="4"/>
    <n v="20.92"/>
    <s v="Credit Card"/>
    <d v="2021-06-29T00:00:00"/>
    <x v="7"/>
  </r>
  <r>
    <s v="I100156"/>
    <s v="C462935"/>
    <x v="1"/>
    <n v="69"/>
    <x v="0"/>
    <x v="2"/>
    <n v="3"/>
    <n v="45.45"/>
    <s v="Credit Card"/>
    <d v="2021-01-25T00:00:00"/>
    <x v="7"/>
  </r>
  <r>
    <s v="I100161"/>
    <s v="C262871"/>
    <x v="1"/>
    <n v="30"/>
    <x v="2"/>
    <x v="0"/>
    <n v="1"/>
    <n v="300.08"/>
    <s v="Cash"/>
    <d v="2021-04-11T00:00:00"/>
    <x v="5"/>
  </r>
  <r>
    <s v="I100168"/>
    <s v="C135319"/>
    <x v="0"/>
    <n v="43"/>
    <x v="4"/>
    <x v="5"/>
    <n v="4"/>
    <n v="2400.6799999999998"/>
    <s v="Cash"/>
    <d v="2021-11-15T00:00:00"/>
    <x v="4"/>
  </r>
  <r>
    <s v="I100173"/>
    <s v="C190374"/>
    <x v="1"/>
    <n v="69"/>
    <x v="0"/>
    <x v="4"/>
    <n v="1"/>
    <n v="5.23"/>
    <s v="Cash"/>
    <d v="2021-05-18T00:00:00"/>
    <x v="7"/>
  </r>
  <r>
    <s v="I100174"/>
    <s v="C286570"/>
    <x v="1"/>
    <n v="36"/>
    <x v="4"/>
    <x v="0"/>
    <n v="1"/>
    <n v="300.08"/>
    <s v="Cash"/>
    <d v="2021-12-07T00:00:00"/>
    <x v="2"/>
  </r>
  <r>
    <s v="I100181"/>
    <s v="C123341"/>
    <x v="1"/>
    <n v="33"/>
    <x v="2"/>
    <x v="0"/>
    <n v="5"/>
    <n v="1500.4"/>
    <s v="Cash"/>
    <d v="2022-04-18T00:00:00"/>
    <x v="3"/>
  </r>
  <r>
    <s v="I100184"/>
    <s v="C131276"/>
    <x v="1"/>
    <n v="32"/>
    <x v="2"/>
    <x v="1"/>
    <n v="2"/>
    <n v="81.319999999999993"/>
    <s v="Cash"/>
    <d v="2022-09-18T00:00:00"/>
    <x v="5"/>
  </r>
  <r>
    <s v="I100186"/>
    <s v="C222236"/>
    <x v="0"/>
    <n v="62"/>
    <x v="0"/>
    <x v="0"/>
    <n v="1"/>
    <n v="300.08"/>
    <s v="Debit Card"/>
    <d v="2023-01-30T00:00:00"/>
    <x v="4"/>
  </r>
  <r>
    <s v="I100187"/>
    <s v="C178869"/>
    <x v="1"/>
    <n v="41"/>
    <x v="4"/>
    <x v="4"/>
    <n v="1"/>
    <n v="5.23"/>
    <s v="Credit Card"/>
    <d v="2021-07-28T00:00:00"/>
    <x v="3"/>
  </r>
  <r>
    <s v="I100192"/>
    <s v="C161234"/>
    <x v="0"/>
    <n v="57"/>
    <x v="1"/>
    <x v="0"/>
    <n v="1"/>
    <n v="300.08"/>
    <s v="Debit Card"/>
    <d v="2021-11-17T00:00:00"/>
    <x v="2"/>
  </r>
  <r>
    <s v="I100193"/>
    <s v="C149918"/>
    <x v="0"/>
    <n v="34"/>
    <x v="2"/>
    <x v="0"/>
    <n v="1"/>
    <n v="300.08"/>
    <s v="Debit Card"/>
    <d v="2022-02-26T00:00:00"/>
    <x v="9"/>
  </r>
  <r>
    <s v="I100195"/>
    <s v="C322199"/>
    <x v="1"/>
    <n v="34"/>
    <x v="2"/>
    <x v="4"/>
    <n v="5"/>
    <n v="26.15"/>
    <s v="Debit Card"/>
    <d v="2022-12-20T00:00:00"/>
    <x v="2"/>
  </r>
  <r>
    <s v="I100198"/>
    <s v="C136883"/>
    <x v="1"/>
    <n v="58"/>
    <x v="1"/>
    <x v="1"/>
    <n v="5"/>
    <n v="203.3"/>
    <s v="Credit Card"/>
    <d v="2021-07-18T00:00:00"/>
    <x v="8"/>
  </r>
  <r>
    <s v="I100199"/>
    <s v="C275614"/>
    <x v="1"/>
    <n v="31"/>
    <x v="2"/>
    <x v="2"/>
    <n v="5"/>
    <n v="75.75"/>
    <s v="Cash"/>
    <d v="2022-02-25T00:00:00"/>
    <x v="9"/>
  </r>
  <r>
    <s v="I100200"/>
    <s v="C948033"/>
    <x v="0"/>
    <n v="24"/>
    <x v="3"/>
    <x v="7"/>
    <n v="4"/>
    <n v="143.36000000000001"/>
    <s v="Cash"/>
    <d v="2021-07-28T00:00:00"/>
    <x v="3"/>
  </r>
  <r>
    <s v="I100201"/>
    <s v="C982027"/>
    <x v="0"/>
    <n v="57"/>
    <x v="1"/>
    <x v="6"/>
    <n v="5"/>
    <n v="58.65"/>
    <s v="Cash"/>
    <d v="2021-03-20T00:00:00"/>
    <x v="9"/>
  </r>
  <r>
    <s v="I100202"/>
    <s v="C182496"/>
    <x v="0"/>
    <n v="45"/>
    <x v="4"/>
    <x v="4"/>
    <n v="4"/>
    <n v="20.92"/>
    <s v="Credit Card"/>
    <d v="2022-11-20T00:00:00"/>
    <x v="5"/>
  </r>
  <r>
    <s v="I100205"/>
    <s v="C220151"/>
    <x v="0"/>
    <n v="32"/>
    <x v="2"/>
    <x v="0"/>
    <n v="5"/>
    <n v="1500.4"/>
    <s v="Credit Card"/>
    <d v="2021-06-26T00:00:00"/>
    <x v="9"/>
  </r>
  <r>
    <s v="I100207"/>
    <s v="C452901"/>
    <x v="0"/>
    <n v="22"/>
    <x v="3"/>
    <x v="0"/>
    <n v="4"/>
    <n v="1200.32"/>
    <s v="Credit Card"/>
    <d v="2021-04-19T00:00:00"/>
    <x v="3"/>
  </r>
  <r>
    <s v="I100211"/>
    <s v="C239527"/>
    <x v="1"/>
    <n v="59"/>
    <x v="1"/>
    <x v="0"/>
    <n v="2"/>
    <n v="600.16"/>
    <s v="Debit Card"/>
    <d v="2021-02-10T00:00:00"/>
    <x v="3"/>
  </r>
  <r>
    <s v="I100212"/>
    <s v="C282695"/>
    <x v="1"/>
    <n v="60"/>
    <x v="1"/>
    <x v="6"/>
    <n v="3"/>
    <n v="35.19"/>
    <s v="Credit Card"/>
    <d v="2021-08-31T00:00:00"/>
    <x v="5"/>
  </r>
  <r>
    <s v="I100214"/>
    <s v="C989972"/>
    <x v="1"/>
    <n v="42"/>
    <x v="4"/>
    <x v="0"/>
    <n v="3"/>
    <n v="900.24"/>
    <s v="Cash"/>
    <d v="2022-03-06T00:00:00"/>
    <x v="9"/>
  </r>
  <r>
    <s v="I100215"/>
    <s v="C198589"/>
    <x v="0"/>
    <n v="27"/>
    <x v="2"/>
    <x v="5"/>
    <n v="3"/>
    <n v="1800.51"/>
    <s v="Debit Card"/>
    <d v="2021-04-12T00:00:00"/>
    <x v="2"/>
  </r>
  <r>
    <s v="I100216"/>
    <s v="C145243"/>
    <x v="0"/>
    <n v="27"/>
    <x v="2"/>
    <x v="1"/>
    <n v="1"/>
    <n v="40.659999999999997"/>
    <s v="Cash"/>
    <d v="2022-03-09T00:00:00"/>
    <x v="2"/>
  </r>
  <r>
    <s v="I100218"/>
    <s v="C205490"/>
    <x v="0"/>
    <n v="37"/>
    <x v="4"/>
    <x v="4"/>
    <n v="1"/>
    <n v="5.23"/>
    <s v="Cash"/>
    <d v="2022-10-15T00:00:00"/>
    <x v="5"/>
  </r>
  <r>
    <s v="I100220"/>
    <s v="C122251"/>
    <x v="0"/>
    <n v="25"/>
    <x v="3"/>
    <x v="0"/>
    <n v="5"/>
    <n v="1500.4"/>
    <s v="Cash"/>
    <d v="2021-05-26T00:00:00"/>
    <x v="2"/>
  </r>
  <r>
    <s v="I100223"/>
    <s v="C212702"/>
    <x v="1"/>
    <n v="45"/>
    <x v="4"/>
    <x v="5"/>
    <n v="5"/>
    <n v="3000.85"/>
    <s v="Credit Card"/>
    <d v="2022-11-21T00:00:00"/>
    <x v="3"/>
  </r>
  <r>
    <s v="I100225"/>
    <s v="C128382"/>
    <x v="0"/>
    <n v="44"/>
    <x v="4"/>
    <x v="1"/>
    <n v="3"/>
    <n v="121.98"/>
    <s v="Credit Card"/>
    <d v="2022-10-12T00:00:00"/>
    <x v="9"/>
  </r>
  <r>
    <s v="I100227"/>
    <s v="C364271"/>
    <x v="1"/>
    <n v="67"/>
    <x v="0"/>
    <x v="7"/>
    <n v="3"/>
    <n v="107.52"/>
    <s v="Cash"/>
    <d v="2022-05-13T00:00:00"/>
    <x v="3"/>
  </r>
  <r>
    <s v="I100228"/>
    <s v="C248381"/>
    <x v="0"/>
    <n v="42"/>
    <x v="4"/>
    <x v="0"/>
    <n v="2"/>
    <n v="600.16"/>
    <s v="Cash"/>
    <d v="2023-02-21T00:00:00"/>
    <x v="2"/>
  </r>
  <r>
    <s v="I100229"/>
    <s v="C397160"/>
    <x v="0"/>
    <n v="27"/>
    <x v="2"/>
    <x v="1"/>
    <n v="4"/>
    <n v="162.63999999999999"/>
    <s v="Debit Card"/>
    <d v="2023-02-28T00:00:00"/>
    <x v="2"/>
  </r>
  <r>
    <s v="I100231"/>
    <s v="C274640"/>
    <x v="1"/>
    <n v="67"/>
    <x v="0"/>
    <x v="3"/>
    <n v="1"/>
    <n v="1050"/>
    <s v="Debit Card"/>
    <d v="2021-07-19T00:00:00"/>
    <x v="7"/>
  </r>
  <r>
    <s v="I100240"/>
    <s v="C240922"/>
    <x v="1"/>
    <n v="22"/>
    <x v="3"/>
    <x v="1"/>
    <n v="3"/>
    <n v="121.98"/>
    <s v="Credit Card"/>
    <d v="2022-10-20T00:00:00"/>
    <x v="8"/>
  </r>
  <r>
    <s v="I100243"/>
    <s v="C332855"/>
    <x v="1"/>
    <n v="42"/>
    <x v="4"/>
    <x v="0"/>
    <n v="1"/>
    <n v="300.08"/>
    <s v="Cash"/>
    <d v="2023-01-12T00:00:00"/>
    <x v="5"/>
  </r>
  <r>
    <s v="I100249"/>
    <s v="C209647"/>
    <x v="0"/>
    <n v="40"/>
    <x v="4"/>
    <x v="0"/>
    <n v="5"/>
    <n v="1500.4"/>
    <s v="Credit Card"/>
    <d v="2022-12-19T00:00:00"/>
    <x v="5"/>
  </r>
  <r>
    <s v="I100251"/>
    <s v="C228482"/>
    <x v="1"/>
    <n v="36"/>
    <x v="4"/>
    <x v="6"/>
    <n v="4"/>
    <n v="46.92"/>
    <s v="Cash"/>
    <d v="2022-05-29T00:00:00"/>
    <x v="7"/>
  </r>
  <r>
    <s v="I100261"/>
    <s v="C315632"/>
    <x v="1"/>
    <n v="41"/>
    <x v="4"/>
    <x v="1"/>
    <n v="2"/>
    <n v="81.319999999999993"/>
    <s v="Credit Card"/>
    <d v="2023-03-03T00:00:00"/>
    <x v="2"/>
  </r>
  <r>
    <s v="I100267"/>
    <s v="C299948"/>
    <x v="1"/>
    <n v="57"/>
    <x v="1"/>
    <x v="1"/>
    <n v="4"/>
    <n v="162.63999999999999"/>
    <s v="Debit Card"/>
    <d v="2022-12-11T00:00:00"/>
    <x v="5"/>
  </r>
  <r>
    <s v="I100271"/>
    <s v="C892772"/>
    <x v="0"/>
    <n v="37"/>
    <x v="4"/>
    <x v="7"/>
    <n v="4"/>
    <n v="143.36000000000001"/>
    <s v="Debit Card"/>
    <d v="2021-02-13T00:00:00"/>
    <x v="3"/>
  </r>
  <r>
    <s v="I100273"/>
    <s v="C291963"/>
    <x v="1"/>
    <n v="67"/>
    <x v="0"/>
    <x v="7"/>
    <n v="5"/>
    <n v="179.2"/>
    <s v="Cash"/>
    <d v="2021-05-10T00:00:00"/>
    <x v="8"/>
  </r>
  <r>
    <s v="I100281"/>
    <s v="C711548"/>
    <x v="0"/>
    <n v="39"/>
    <x v="4"/>
    <x v="7"/>
    <n v="1"/>
    <n v="35.840000000000003"/>
    <s v="Debit Card"/>
    <d v="2021-06-28T00:00:00"/>
    <x v="5"/>
  </r>
  <r>
    <s v="I100282"/>
    <s v="C836957"/>
    <x v="0"/>
    <n v="45"/>
    <x v="4"/>
    <x v="0"/>
    <n v="3"/>
    <n v="900.24"/>
    <s v="Cash"/>
    <d v="2022-07-30T00:00:00"/>
    <x v="1"/>
  </r>
  <r>
    <s v="I100284"/>
    <s v="C174674"/>
    <x v="1"/>
    <n v="66"/>
    <x v="0"/>
    <x v="0"/>
    <n v="2"/>
    <n v="600.16"/>
    <s v="Credit Card"/>
    <d v="2022-08-13T00:00:00"/>
    <x v="5"/>
  </r>
  <r>
    <s v="I100288"/>
    <s v="C435081"/>
    <x v="1"/>
    <n v="33"/>
    <x v="2"/>
    <x v="4"/>
    <n v="3"/>
    <n v="15.69"/>
    <s v="Credit Card"/>
    <d v="2022-02-13T00:00:00"/>
    <x v="5"/>
  </r>
  <r>
    <s v="I100290"/>
    <s v="C118172"/>
    <x v="0"/>
    <n v="45"/>
    <x v="4"/>
    <x v="1"/>
    <n v="3"/>
    <n v="121.98"/>
    <s v="Credit Card"/>
    <d v="2021-12-24T00:00:00"/>
    <x v="2"/>
  </r>
  <r>
    <s v="I100291"/>
    <s v="C832260"/>
    <x v="0"/>
    <n v="18"/>
    <x v="3"/>
    <x v="0"/>
    <n v="5"/>
    <n v="1500.4"/>
    <s v="Debit Card"/>
    <d v="2021-08-03T00:00:00"/>
    <x v="9"/>
  </r>
  <r>
    <s v="I100292"/>
    <s v="C721616"/>
    <x v="1"/>
    <n v="21"/>
    <x v="3"/>
    <x v="0"/>
    <n v="2"/>
    <n v="600.16"/>
    <s v="Cash"/>
    <d v="2022-08-16T00:00:00"/>
    <x v="2"/>
  </r>
  <r>
    <s v="I100293"/>
    <s v="C991830"/>
    <x v="1"/>
    <n v="28"/>
    <x v="2"/>
    <x v="4"/>
    <n v="3"/>
    <n v="15.69"/>
    <s v="Cash"/>
    <d v="2022-11-28T00:00:00"/>
    <x v="5"/>
  </r>
  <r>
    <s v="I100294"/>
    <s v="C277127"/>
    <x v="0"/>
    <n v="52"/>
    <x v="1"/>
    <x v="4"/>
    <n v="3"/>
    <n v="15.69"/>
    <s v="Cash"/>
    <d v="2022-12-12T00:00:00"/>
    <x v="9"/>
  </r>
  <r>
    <s v="I100299"/>
    <s v="C179079"/>
    <x v="0"/>
    <n v="19"/>
    <x v="3"/>
    <x v="0"/>
    <n v="5"/>
    <n v="1500.4"/>
    <s v="Cash"/>
    <d v="2022-09-30T00:00:00"/>
    <x v="2"/>
  </r>
  <r>
    <s v="I100301"/>
    <s v="C553904"/>
    <x v="1"/>
    <n v="20"/>
    <x v="3"/>
    <x v="0"/>
    <n v="4"/>
    <n v="1200.32"/>
    <s v="Credit Card"/>
    <d v="2021-08-20T00:00:00"/>
    <x v="2"/>
  </r>
  <r>
    <s v="I100307"/>
    <s v="C887007"/>
    <x v="1"/>
    <n v="58"/>
    <x v="1"/>
    <x v="0"/>
    <n v="3"/>
    <n v="900.24"/>
    <s v="Credit Card"/>
    <d v="2022-01-24T00:00:00"/>
    <x v="5"/>
  </r>
  <r>
    <s v="I100308"/>
    <s v="C104593"/>
    <x v="0"/>
    <n v="18"/>
    <x v="3"/>
    <x v="4"/>
    <n v="1"/>
    <n v="5.23"/>
    <s v="Cash"/>
    <d v="2022-07-11T00:00:00"/>
    <x v="2"/>
  </r>
  <r>
    <s v="I100310"/>
    <s v="C183161"/>
    <x v="1"/>
    <n v="46"/>
    <x v="1"/>
    <x v="1"/>
    <n v="4"/>
    <n v="162.63999999999999"/>
    <s v="Cash"/>
    <d v="2022-04-22T00:00:00"/>
    <x v="2"/>
  </r>
  <r>
    <s v="I100311"/>
    <s v="C115462"/>
    <x v="1"/>
    <n v="55"/>
    <x v="1"/>
    <x v="0"/>
    <n v="4"/>
    <n v="1200.32"/>
    <s v="Cash"/>
    <d v="2022-04-20T00:00:00"/>
    <x v="4"/>
  </r>
  <r>
    <s v="I100312"/>
    <s v="C280934"/>
    <x v="0"/>
    <n v="34"/>
    <x v="2"/>
    <x v="4"/>
    <n v="2"/>
    <n v="10.46"/>
    <s v="Credit Card"/>
    <d v="2022-10-29T00:00:00"/>
    <x v="0"/>
  </r>
  <r>
    <s v="I100313"/>
    <s v="C144410"/>
    <x v="1"/>
    <n v="64"/>
    <x v="0"/>
    <x v="1"/>
    <n v="4"/>
    <n v="162.63999999999999"/>
    <s v="Cash"/>
    <d v="2022-11-17T00:00:00"/>
    <x v="3"/>
  </r>
  <r>
    <s v="I100315"/>
    <s v="C242277"/>
    <x v="1"/>
    <n v="30"/>
    <x v="2"/>
    <x v="1"/>
    <n v="3"/>
    <n v="121.98"/>
    <s v="Debit Card"/>
    <d v="2021-08-04T00:00:00"/>
    <x v="0"/>
  </r>
  <r>
    <s v="I100316"/>
    <s v="C248553"/>
    <x v="0"/>
    <n v="40"/>
    <x v="4"/>
    <x v="5"/>
    <n v="2"/>
    <n v="1200.3399999999999"/>
    <s v="Cash"/>
    <d v="2022-12-13T00:00:00"/>
    <x v="8"/>
  </r>
  <r>
    <s v="I100320"/>
    <s v="C152872"/>
    <x v="1"/>
    <n v="21"/>
    <x v="3"/>
    <x v="0"/>
    <n v="2"/>
    <n v="600.16"/>
    <s v="Cash"/>
    <d v="2022-10-10T00:00:00"/>
    <x v="0"/>
  </r>
  <r>
    <s v="I100321"/>
    <s v="C113910"/>
    <x v="1"/>
    <n v="59"/>
    <x v="1"/>
    <x v="7"/>
    <n v="2"/>
    <n v="71.680000000000007"/>
    <s v="Credit Card"/>
    <d v="2022-05-23T00:00:00"/>
    <x v="6"/>
  </r>
  <r>
    <s v="I100323"/>
    <s v="C107529"/>
    <x v="0"/>
    <n v="66"/>
    <x v="0"/>
    <x v="1"/>
    <n v="3"/>
    <n v="121.98"/>
    <s v="Debit Card"/>
    <d v="2022-05-19T00:00:00"/>
    <x v="5"/>
  </r>
  <r>
    <s v="I100324"/>
    <s v="C288166"/>
    <x v="1"/>
    <n v="61"/>
    <x v="0"/>
    <x v="0"/>
    <n v="5"/>
    <n v="1500.4"/>
    <s v="Debit Card"/>
    <d v="2022-12-30T00:00:00"/>
    <x v="7"/>
  </r>
  <r>
    <s v="I100328"/>
    <s v="C152052"/>
    <x v="1"/>
    <n v="69"/>
    <x v="0"/>
    <x v="4"/>
    <n v="3"/>
    <n v="15.69"/>
    <s v="Credit Card"/>
    <d v="2022-04-22T00:00:00"/>
    <x v="5"/>
  </r>
  <r>
    <s v="I100330"/>
    <s v="C453598"/>
    <x v="0"/>
    <n v="26"/>
    <x v="2"/>
    <x v="1"/>
    <n v="5"/>
    <n v="203.3"/>
    <s v="Credit Card"/>
    <d v="2022-07-15T00:00:00"/>
    <x v="3"/>
  </r>
  <r>
    <s v="I100336"/>
    <s v="C202040"/>
    <x v="1"/>
    <n v="39"/>
    <x v="4"/>
    <x v="4"/>
    <n v="1"/>
    <n v="5.23"/>
    <s v="Cash"/>
    <d v="2022-08-01T00:00:00"/>
    <x v="7"/>
  </r>
  <r>
    <s v="I100338"/>
    <s v="C779694"/>
    <x v="0"/>
    <n v="62"/>
    <x v="0"/>
    <x v="4"/>
    <n v="2"/>
    <n v="10.46"/>
    <s v="Cash"/>
    <d v="2022-06-29T00:00:00"/>
    <x v="1"/>
  </r>
  <r>
    <s v="I100354"/>
    <s v="C135028"/>
    <x v="0"/>
    <n v="22"/>
    <x v="3"/>
    <x v="3"/>
    <n v="1"/>
    <n v="1050"/>
    <s v="Credit Card"/>
    <d v="2021-08-24T00:00:00"/>
    <x v="7"/>
  </r>
  <r>
    <s v="I100355"/>
    <s v="C189409"/>
    <x v="1"/>
    <n v="57"/>
    <x v="1"/>
    <x v="0"/>
    <n v="5"/>
    <n v="1500.4"/>
    <s v="Cash"/>
    <d v="2022-10-25T00:00:00"/>
    <x v="5"/>
  </r>
  <r>
    <s v="I100357"/>
    <s v="C494452"/>
    <x v="1"/>
    <n v="23"/>
    <x v="3"/>
    <x v="1"/>
    <n v="3"/>
    <n v="121.98"/>
    <s v="Debit Card"/>
    <d v="2021-05-02T00:00:00"/>
    <x v="6"/>
  </r>
  <r>
    <s v="I100358"/>
    <s v="C339237"/>
    <x v="1"/>
    <n v="21"/>
    <x v="3"/>
    <x v="1"/>
    <n v="5"/>
    <n v="203.3"/>
    <s v="Cash"/>
    <d v="2021-09-22T00:00:00"/>
    <x v="3"/>
  </r>
  <r>
    <s v="I100361"/>
    <s v="C224357"/>
    <x v="1"/>
    <n v="26"/>
    <x v="2"/>
    <x v="4"/>
    <n v="5"/>
    <n v="26.15"/>
    <s v="Cash"/>
    <d v="2021-06-29T00:00:00"/>
    <x v="1"/>
  </r>
  <r>
    <s v="I100364"/>
    <s v="C231500"/>
    <x v="1"/>
    <n v="54"/>
    <x v="1"/>
    <x v="0"/>
    <n v="2"/>
    <n v="600.16"/>
    <s v="Debit Card"/>
    <d v="2021-04-15T00:00:00"/>
    <x v="4"/>
  </r>
  <r>
    <s v="I100365"/>
    <s v="C624809"/>
    <x v="1"/>
    <n v="47"/>
    <x v="1"/>
    <x v="0"/>
    <n v="5"/>
    <n v="1500.4"/>
    <s v="Credit Card"/>
    <d v="2021-05-19T00:00:00"/>
    <x v="0"/>
  </r>
  <r>
    <s v="I100366"/>
    <s v="C296054"/>
    <x v="1"/>
    <n v="69"/>
    <x v="0"/>
    <x v="0"/>
    <n v="1"/>
    <n v="300.08"/>
    <s v="Debit Card"/>
    <d v="2021-07-05T00:00:00"/>
    <x v="8"/>
  </r>
  <r>
    <s v="I100367"/>
    <s v="C268495"/>
    <x v="0"/>
    <n v="61"/>
    <x v="0"/>
    <x v="4"/>
    <n v="5"/>
    <n v="26.15"/>
    <s v="Cash"/>
    <d v="2021-11-22T00:00:00"/>
    <x v="5"/>
  </r>
  <r>
    <s v="I100368"/>
    <s v="C168429"/>
    <x v="1"/>
    <n v="63"/>
    <x v="0"/>
    <x v="4"/>
    <n v="1"/>
    <n v="5.23"/>
    <s v="Credit Card"/>
    <d v="2022-01-17T00:00:00"/>
    <x v="5"/>
  </r>
  <r>
    <s v="I100377"/>
    <s v="C272529"/>
    <x v="1"/>
    <n v="62"/>
    <x v="0"/>
    <x v="7"/>
    <n v="3"/>
    <n v="107.52"/>
    <s v="Debit Card"/>
    <d v="2021-12-23T00:00:00"/>
    <x v="3"/>
  </r>
  <r>
    <s v="I100381"/>
    <s v="C243648"/>
    <x v="1"/>
    <n v="36"/>
    <x v="4"/>
    <x v="0"/>
    <n v="2"/>
    <n v="600.16"/>
    <s v="Cash"/>
    <d v="2022-12-02T00:00:00"/>
    <x v="6"/>
  </r>
  <r>
    <s v="I100387"/>
    <s v="C234074"/>
    <x v="1"/>
    <n v="21"/>
    <x v="3"/>
    <x v="4"/>
    <n v="2"/>
    <n v="10.46"/>
    <s v="Cash"/>
    <d v="2021-05-16T00:00:00"/>
    <x v="2"/>
  </r>
  <r>
    <s v="I100397"/>
    <s v="C262466"/>
    <x v="1"/>
    <n v="34"/>
    <x v="2"/>
    <x v="1"/>
    <n v="1"/>
    <n v="40.659999999999997"/>
    <s v="Debit Card"/>
    <d v="2021-09-24T00:00:00"/>
    <x v="6"/>
  </r>
  <r>
    <s v="I100399"/>
    <s v="C250107"/>
    <x v="1"/>
    <n v="46"/>
    <x v="1"/>
    <x v="4"/>
    <n v="5"/>
    <n v="26.15"/>
    <s v="Cash"/>
    <d v="2022-02-01T00:00:00"/>
    <x v="2"/>
  </r>
  <r>
    <s v="I100400"/>
    <s v="C271625"/>
    <x v="1"/>
    <n v="62"/>
    <x v="0"/>
    <x v="5"/>
    <n v="4"/>
    <n v="2400.6799999999998"/>
    <s v="Credit Card"/>
    <d v="2021-01-16T00:00:00"/>
    <x v="3"/>
  </r>
  <r>
    <s v="I100401"/>
    <s v="C291610"/>
    <x v="1"/>
    <n v="34"/>
    <x v="2"/>
    <x v="5"/>
    <n v="3"/>
    <n v="1800.51"/>
    <s v="Credit Card"/>
    <d v="2023-03-06T00:00:00"/>
    <x v="8"/>
  </r>
  <r>
    <s v="I100404"/>
    <s v="C116794"/>
    <x v="1"/>
    <n v="64"/>
    <x v="0"/>
    <x v="1"/>
    <n v="1"/>
    <n v="40.659999999999997"/>
    <s v="Credit Card"/>
    <d v="2021-11-03T00:00:00"/>
    <x v="2"/>
  </r>
  <r>
    <s v="I100406"/>
    <s v="C146640"/>
    <x v="0"/>
    <n v="62"/>
    <x v="0"/>
    <x v="1"/>
    <n v="3"/>
    <n v="121.98"/>
    <s v="Credit Card"/>
    <d v="2021-06-16T00:00:00"/>
    <x v="5"/>
  </r>
  <r>
    <s v="I100408"/>
    <s v="C128638"/>
    <x v="1"/>
    <n v="37"/>
    <x v="4"/>
    <x v="7"/>
    <n v="3"/>
    <n v="107.52"/>
    <s v="Cash"/>
    <d v="2021-08-09T00:00:00"/>
    <x v="5"/>
  </r>
  <r>
    <s v="I100412"/>
    <s v="C313809"/>
    <x v="1"/>
    <n v="35"/>
    <x v="2"/>
    <x v="4"/>
    <n v="2"/>
    <n v="10.46"/>
    <s v="Credit Card"/>
    <d v="2022-09-18T00:00:00"/>
    <x v="3"/>
  </r>
  <r>
    <s v="I100414"/>
    <s v="C233655"/>
    <x v="0"/>
    <n v="56"/>
    <x v="1"/>
    <x v="6"/>
    <n v="2"/>
    <n v="23.46"/>
    <s v="Debit Card"/>
    <d v="2023-01-10T00:00:00"/>
    <x v="2"/>
  </r>
  <r>
    <s v="I100417"/>
    <s v="C310007"/>
    <x v="1"/>
    <n v="46"/>
    <x v="1"/>
    <x v="0"/>
    <n v="3"/>
    <n v="900.24"/>
    <s v="Cash"/>
    <d v="2022-07-17T00:00:00"/>
    <x v="2"/>
  </r>
  <r>
    <s v="I100419"/>
    <s v="C937473"/>
    <x v="0"/>
    <n v="53"/>
    <x v="1"/>
    <x v="6"/>
    <n v="2"/>
    <n v="23.46"/>
    <s v="Credit Card"/>
    <d v="2022-04-21T00:00:00"/>
    <x v="2"/>
  </r>
  <r>
    <s v="I100420"/>
    <s v="C261035"/>
    <x v="1"/>
    <n v="69"/>
    <x v="0"/>
    <x v="1"/>
    <n v="3"/>
    <n v="121.98"/>
    <s v="Credit Card"/>
    <d v="2021-07-06T00:00:00"/>
    <x v="1"/>
  </r>
  <r>
    <s v="I100423"/>
    <s v="C664680"/>
    <x v="1"/>
    <n v="33"/>
    <x v="2"/>
    <x v="4"/>
    <n v="4"/>
    <n v="20.92"/>
    <s v="Debit Card"/>
    <d v="2021-04-22T00:00:00"/>
    <x v="3"/>
  </r>
  <r>
    <s v="I100425"/>
    <s v="C386315"/>
    <x v="1"/>
    <n v="52"/>
    <x v="1"/>
    <x v="1"/>
    <n v="1"/>
    <n v="40.659999999999997"/>
    <s v="Cash"/>
    <d v="2021-08-29T00:00:00"/>
    <x v="7"/>
  </r>
  <r>
    <s v="I100426"/>
    <s v="C133701"/>
    <x v="1"/>
    <n v="47"/>
    <x v="1"/>
    <x v="1"/>
    <n v="3"/>
    <n v="121.98"/>
    <s v="Cash"/>
    <d v="2022-12-24T00:00:00"/>
    <x v="9"/>
  </r>
  <r>
    <s v="I100434"/>
    <s v="C295965"/>
    <x v="0"/>
    <n v="61"/>
    <x v="0"/>
    <x v="1"/>
    <n v="4"/>
    <n v="162.63999999999999"/>
    <s v="Cash"/>
    <d v="2021-07-14T00:00:00"/>
    <x v="2"/>
  </r>
  <r>
    <s v="I100439"/>
    <s v="C224698"/>
    <x v="0"/>
    <n v="26"/>
    <x v="2"/>
    <x v="5"/>
    <n v="5"/>
    <n v="3000.85"/>
    <s v="Credit Card"/>
    <d v="2023-03-02T00:00:00"/>
    <x v="7"/>
  </r>
  <r>
    <s v="I100441"/>
    <s v="C202089"/>
    <x v="1"/>
    <n v="43"/>
    <x v="4"/>
    <x v="1"/>
    <n v="3"/>
    <n v="121.98"/>
    <s v="Cash"/>
    <d v="2022-09-09T00:00:00"/>
    <x v="9"/>
  </r>
  <r>
    <s v="I100443"/>
    <s v="C826051"/>
    <x v="1"/>
    <n v="30"/>
    <x v="2"/>
    <x v="6"/>
    <n v="4"/>
    <n v="46.92"/>
    <s v="Debit Card"/>
    <d v="2021-04-16T00:00:00"/>
    <x v="9"/>
  </r>
  <r>
    <s v="I100445"/>
    <s v="C307576"/>
    <x v="1"/>
    <n v="18"/>
    <x v="3"/>
    <x v="0"/>
    <n v="1"/>
    <n v="300.08"/>
    <s v="Debit Card"/>
    <d v="2021-11-02T00:00:00"/>
    <x v="9"/>
  </r>
  <r>
    <s v="I100454"/>
    <s v="C851133"/>
    <x v="1"/>
    <n v="40"/>
    <x v="4"/>
    <x v="7"/>
    <n v="3"/>
    <n v="107.52"/>
    <s v="Debit Card"/>
    <d v="2023-02-24T00:00:00"/>
    <x v="9"/>
  </r>
  <r>
    <s v="I100455"/>
    <s v="C191387"/>
    <x v="1"/>
    <n v="56"/>
    <x v="1"/>
    <x v="6"/>
    <n v="5"/>
    <n v="58.65"/>
    <s v="Cash"/>
    <d v="2022-09-04T00:00:00"/>
    <x v="7"/>
  </r>
  <r>
    <s v="I100458"/>
    <s v="C150447"/>
    <x v="1"/>
    <n v="19"/>
    <x v="3"/>
    <x v="7"/>
    <n v="2"/>
    <n v="71.680000000000007"/>
    <s v="Credit Card"/>
    <d v="2022-04-12T00:00:00"/>
    <x v="3"/>
  </r>
  <r>
    <s v="I100459"/>
    <s v="C194835"/>
    <x v="1"/>
    <n v="37"/>
    <x v="4"/>
    <x v="0"/>
    <n v="3"/>
    <n v="900.24"/>
    <s v="Debit Card"/>
    <d v="2021-09-18T00:00:00"/>
    <x v="3"/>
  </r>
  <r>
    <s v="I100462"/>
    <s v="C363980"/>
    <x v="1"/>
    <n v="46"/>
    <x v="1"/>
    <x v="6"/>
    <n v="5"/>
    <n v="58.65"/>
    <s v="Cash"/>
    <d v="2021-01-04T00:00:00"/>
    <x v="7"/>
  </r>
  <r>
    <s v="I100464"/>
    <s v="C129826"/>
    <x v="0"/>
    <n v="44"/>
    <x v="4"/>
    <x v="0"/>
    <n v="2"/>
    <n v="600.16"/>
    <s v="Debit Card"/>
    <d v="2021-05-01T00:00:00"/>
    <x v="2"/>
  </r>
  <r>
    <s v="I100465"/>
    <s v="C211946"/>
    <x v="1"/>
    <n v="57"/>
    <x v="1"/>
    <x v="0"/>
    <n v="1"/>
    <n v="300.08"/>
    <s v="Cash"/>
    <d v="2022-01-14T00:00:00"/>
    <x v="2"/>
  </r>
  <r>
    <s v="I100466"/>
    <s v="C235798"/>
    <x v="0"/>
    <n v="30"/>
    <x v="2"/>
    <x v="0"/>
    <n v="4"/>
    <n v="1200.32"/>
    <s v="Debit Card"/>
    <d v="2021-09-30T00:00:00"/>
    <x v="6"/>
  </r>
  <r>
    <s v="I100470"/>
    <s v="C219411"/>
    <x v="1"/>
    <n v="32"/>
    <x v="2"/>
    <x v="5"/>
    <n v="1"/>
    <n v="600.16999999999996"/>
    <s v="Credit Card"/>
    <d v="2021-11-08T00:00:00"/>
    <x v="9"/>
  </r>
  <r>
    <s v="I100472"/>
    <s v="C176862"/>
    <x v="0"/>
    <n v="43"/>
    <x v="4"/>
    <x v="1"/>
    <n v="1"/>
    <n v="40.659999999999997"/>
    <s v="Cash"/>
    <d v="2021-09-01T00:00:00"/>
    <x v="2"/>
  </r>
  <r>
    <s v="I100473"/>
    <s v="C607315"/>
    <x v="1"/>
    <n v="51"/>
    <x v="1"/>
    <x v="2"/>
    <n v="5"/>
    <n v="75.75"/>
    <s v="Debit Card"/>
    <d v="2021-01-01T00:00:00"/>
    <x v="2"/>
  </r>
  <r>
    <s v="I100484"/>
    <s v="C135857"/>
    <x v="0"/>
    <n v="50"/>
    <x v="1"/>
    <x v="0"/>
    <n v="1"/>
    <n v="300.08"/>
    <s v="Debit Card"/>
    <d v="2021-01-26T00:00:00"/>
    <x v="2"/>
  </r>
  <r>
    <s v="I100487"/>
    <s v="C213360"/>
    <x v="1"/>
    <n v="22"/>
    <x v="3"/>
    <x v="1"/>
    <n v="4"/>
    <n v="162.63999999999999"/>
    <s v="Cash"/>
    <d v="2021-02-19T00:00:00"/>
    <x v="5"/>
  </r>
  <r>
    <s v="I100491"/>
    <s v="C212593"/>
    <x v="0"/>
    <n v="57"/>
    <x v="1"/>
    <x v="5"/>
    <n v="4"/>
    <n v="2400.6799999999998"/>
    <s v="Credit Card"/>
    <d v="2021-03-29T00:00:00"/>
    <x v="5"/>
  </r>
  <r>
    <s v="I100494"/>
    <s v="C227575"/>
    <x v="0"/>
    <n v="56"/>
    <x v="1"/>
    <x v="7"/>
    <n v="3"/>
    <n v="107.52"/>
    <s v="Debit Card"/>
    <d v="2021-12-19T00:00:00"/>
    <x v="3"/>
  </r>
  <r>
    <s v="I100496"/>
    <s v="C174558"/>
    <x v="1"/>
    <n v="51"/>
    <x v="1"/>
    <x v="0"/>
    <n v="2"/>
    <n v="600.16"/>
    <s v="Cash"/>
    <d v="2021-11-26T00:00:00"/>
    <x v="3"/>
  </r>
  <r>
    <s v="I100498"/>
    <s v="C498727"/>
    <x v="1"/>
    <n v="63"/>
    <x v="0"/>
    <x v="3"/>
    <n v="5"/>
    <n v="5250"/>
    <s v="Cash"/>
    <d v="2023-02-03T00:00:00"/>
    <x v="8"/>
  </r>
  <r>
    <s v="I100499"/>
    <s v="C114407"/>
    <x v="0"/>
    <n v="45"/>
    <x v="4"/>
    <x v="0"/>
    <n v="5"/>
    <n v="1500.4"/>
    <s v="Cash"/>
    <d v="2021-05-09T00:00:00"/>
    <x v="8"/>
  </r>
  <r>
    <s v="I100501"/>
    <s v="C338282"/>
    <x v="1"/>
    <n v="18"/>
    <x v="3"/>
    <x v="3"/>
    <n v="1"/>
    <n v="1050"/>
    <s v="Debit Card"/>
    <d v="2021-08-31T00:00:00"/>
    <x v="3"/>
  </r>
  <r>
    <s v="I100502"/>
    <s v="C238358"/>
    <x v="0"/>
    <n v="28"/>
    <x v="2"/>
    <x v="7"/>
    <n v="1"/>
    <n v="35.840000000000003"/>
    <s v="Credit Card"/>
    <d v="2021-10-10T00:00:00"/>
    <x v="2"/>
  </r>
  <r>
    <s v="I100504"/>
    <s v="C703075"/>
    <x v="1"/>
    <n v="59"/>
    <x v="1"/>
    <x v="5"/>
    <n v="2"/>
    <n v="1200.3399999999999"/>
    <s v="Cash"/>
    <d v="2021-03-31T00:00:00"/>
    <x v="2"/>
  </r>
  <r>
    <s v="I100508"/>
    <s v="C249896"/>
    <x v="1"/>
    <n v="20"/>
    <x v="3"/>
    <x v="0"/>
    <n v="3"/>
    <n v="900.24"/>
    <s v="Debit Card"/>
    <d v="2021-03-24T00:00:00"/>
    <x v="1"/>
  </r>
  <r>
    <s v="I100512"/>
    <s v="C208841"/>
    <x v="0"/>
    <n v="36"/>
    <x v="4"/>
    <x v="4"/>
    <n v="3"/>
    <n v="15.69"/>
    <s v="Debit Card"/>
    <d v="2022-04-13T00:00:00"/>
    <x v="5"/>
  </r>
  <r>
    <s v="I100519"/>
    <s v="C233898"/>
    <x v="0"/>
    <n v="49"/>
    <x v="1"/>
    <x v="0"/>
    <n v="4"/>
    <n v="1200.32"/>
    <s v="Credit Card"/>
    <d v="2021-01-25T00:00:00"/>
    <x v="5"/>
  </r>
  <r>
    <s v="I100522"/>
    <s v="C100218"/>
    <x v="0"/>
    <n v="26"/>
    <x v="2"/>
    <x v="0"/>
    <n v="5"/>
    <n v="1500.4"/>
    <s v="Cash"/>
    <d v="2021-11-06T00:00:00"/>
    <x v="5"/>
  </r>
  <r>
    <s v="I100526"/>
    <s v="C356129"/>
    <x v="0"/>
    <n v="35"/>
    <x v="2"/>
    <x v="1"/>
    <n v="3"/>
    <n v="121.98"/>
    <s v="Debit Card"/>
    <d v="2022-08-17T00:00:00"/>
    <x v="2"/>
  </r>
  <r>
    <s v="I100527"/>
    <s v="C274542"/>
    <x v="0"/>
    <n v="54"/>
    <x v="1"/>
    <x v="0"/>
    <n v="1"/>
    <n v="300.08"/>
    <s v="Cash"/>
    <d v="2022-06-26T00:00:00"/>
    <x v="3"/>
  </r>
  <r>
    <s v="I100537"/>
    <s v="C392460"/>
    <x v="1"/>
    <n v="62"/>
    <x v="0"/>
    <x v="6"/>
    <n v="3"/>
    <n v="35.19"/>
    <s v="Debit Card"/>
    <d v="2022-04-05T00:00:00"/>
    <x v="5"/>
  </r>
  <r>
    <s v="I100538"/>
    <s v="C312561"/>
    <x v="1"/>
    <n v="65"/>
    <x v="0"/>
    <x v="0"/>
    <n v="3"/>
    <n v="900.24"/>
    <s v="Cash"/>
    <d v="2022-01-19T00:00:00"/>
    <x v="9"/>
  </r>
  <r>
    <s v="I100540"/>
    <s v="C641482"/>
    <x v="1"/>
    <n v="35"/>
    <x v="2"/>
    <x v="0"/>
    <n v="2"/>
    <n v="600.16"/>
    <s v="Credit Card"/>
    <d v="2022-06-14T00:00:00"/>
    <x v="3"/>
  </r>
  <r>
    <s v="I100541"/>
    <s v="C155234"/>
    <x v="1"/>
    <n v="65"/>
    <x v="0"/>
    <x v="6"/>
    <n v="2"/>
    <n v="23.46"/>
    <s v="Cash"/>
    <d v="2021-05-10T00:00:00"/>
    <x v="9"/>
  </r>
  <r>
    <s v="I100542"/>
    <s v="C273404"/>
    <x v="0"/>
    <n v="23"/>
    <x v="3"/>
    <x v="6"/>
    <n v="3"/>
    <n v="35.19"/>
    <s v="Credit Card"/>
    <d v="2021-06-05T00:00:00"/>
    <x v="9"/>
  </r>
  <r>
    <s v="I100543"/>
    <s v="C193964"/>
    <x v="1"/>
    <n v="52"/>
    <x v="1"/>
    <x v="4"/>
    <n v="2"/>
    <n v="10.46"/>
    <s v="Cash"/>
    <d v="2022-03-05T00:00:00"/>
    <x v="2"/>
  </r>
  <r>
    <s v="I100547"/>
    <s v="C173500"/>
    <x v="0"/>
    <n v="49"/>
    <x v="1"/>
    <x v="4"/>
    <n v="1"/>
    <n v="5.23"/>
    <s v="Credit Card"/>
    <d v="2021-08-07T00:00:00"/>
    <x v="2"/>
  </r>
  <r>
    <s v="I100550"/>
    <s v="C123577"/>
    <x v="1"/>
    <n v="38"/>
    <x v="4"/>
    <x v="6"/>
    <n v="5"/>
    <n v="58.65"/>
    <s v="Cash"/>
    <d v="2022-11-22T00:00:00"/>
    <x v="8"/>
  </r>
  <r>
    <s v="I100552"/>
    <s v="C213606"/>
    <x v="1"/>
    <n v="30"/>
    <x v="2"/>
    <x v="4"/>
    <n v="3"/>
    <n v="15.69"/>
    <s v="Credit Card"/>
    <d v="2021-11-09T00:00:00"/>
    <x v="7"/>
  </r>
  <r>
    <s v="I100555"/>
    <s v="C701082"/>
    <x v="1"/>
    <n v="44"/>
    <x v="4"/>
    <x v="0"/>
    <n v="3"/>
    <n v="900.24"/>
    <s v="Cash"/>
    <d v="2022-09-10T00:00:00"/>
    <x v="5"/>
  </r>
  <r>
    <s v="I100558"/>
    <s v="C209906"/>
    <x v="0"/>
    <n v="27"/>
    <x v="2"/>
    <x v="1"/>
    <n v="3"/>
    <n v="121.98"/>
    <s v="Credit Card"/>
    <d v="2021-05-25T00:00:00"/>
    <x v="9"/>
  </r>
  <r>
    <s v="I100561"/>
    <s v="C255643"/>
    <x v="1"/>
    <n v="26"/>
    <x v="2"/>
    <x v="0"/>
    <n v="4"/>
    <n v="1200.32"/>
    <s v="Debit Card"/>
    <d v="2021-08-29T00:00:00"/>
    <x v="8"/>
  </r>
  <r>
    <s v="I100565"/>
    <s v="C833577"/>
    <x v="0"/>
    <n v="42"/>
    <x v="4"/>
    <x v="0"/>
    <n v="5"/>
    <n v="1500.4"/>
    <s v="Cash"/>
    <d v="2022-09-17T00:00:00"/>
    <x v="7"/>
  </r>
  <r>
    <s v="I100566"/>
    <s v="C266257"/>
    <x v="0"/>
    <n v="21"/>
    <x v="3"/>
    <x v="0"/>
    <n v="2"/>
    <n v="600.16"/>
    <s v="Cash"/>
    <d v="2022-10-10T00:00:00"/>
    <x v="3"/>
  </r>
  <r>
    <s v="I100567"/>
    <s v="C272165"/>
    <x v="0"/>
    <n v="18"/>
    <x v="3"/>
    <x v="7"/>
    <n v="5"/>
    <n v="179.2"/>
    <s v="Credit Card"/>
    <d v="2021-01-03T00:00:00"/>
    <x v="2"/>
  </r>
  <r>
    <s v="I100571"/>
    <s v="C668914"/>
    <x v="0"/>
    <n v="66"/>
    <x v="0"/>
    <x v="0"/>
    <n v="1"/>
    <n v="300.08"/>
    <s v="Debit Card"/>
    <d v="2023-01-07T00:00:00"/>
    <x v="4"/>
  </r>
  <r>
    <s v="I100572"/>
    <s v="C245347"/>
    <x v="1"/>
    <n v="67"/>
    <x v="0"/>
    <x v="0"/>
    <n v="1"/>
    <n v="300.08"/>
    <s v="Cash"/>
    <d v="2021-07-30T00:00:00"/>
    <x v="9"/>
  </r>
  <r>
    <s v="I100578"/>
    <s v="C108143"/>
    <x v="1"/>
    <n v="67"/>
    <x v="0"/>
    <x v="5"/>
    <n v="4"/>
    <n v="2400.6799999999998"/>
    <s v="Cash"/>
    <d v="2023-02-28T00:00:00"/>
    <x v="4"/>
  </r>
  <r>
    <s v="I100579"/>
    <s v="C260481"/>
    <x v="1"/>
    <n v="36"/>
    <x v="4"/>
    <x v="4"/>
    <n v="3"/>
    <n v="15.69"/>
    <s v="Credit Card"/>
    <d v="2022-09-24T00:00:00"/>
    <x v="5"/>
  </r>
  <r>
    <s v="I100580"/>
    <s v="C131158"/>
    <x v="1"/>
    <n v="68"/>
    <x v="0"/>
    <x v="7"/>
    <n v="3"/>
    <n v="107.52"/>
    <s v="Cash"/>
    <d v="2022-09-14T00:00:00"/>
    <x v="8"/>
  </r>
  <r>
    <s v="I100582"/>
    <s v="C638859"/>
    <x v="1"/>
    <n v="66"/>
    <x v="0"/>
    <x v="0"/>
    <n v="2"/>
    <n v="600.16"/>
    <s v="Cash"/>
    <d v="2021-11-02T00:00:00"/>
    <x v="9"/>
  </r>
  <r>
    <s v="I100586"/>
    <s v="C580838"/>
    <x v="1"/>
    <n v="62"/>
    <x v="0"/>
    <x v="0"/>
    <n v="2"/>
    <n v="600.16"/>
    <s v="Credit Card"/>
    <d v="2022-03-18T00:00:00"/>
    <x v="9"/>
  </r>
  <r>
    <s v="I100591"/>
    <s v="C881158"/>
    <x v="0"/>
    <n v="23"/>
    <x v="3"/>
    <x v="7"/>
    <n v="1"/>
    <n v="35.840000000000003"/>
    <s v="Credit Card"/>
    <d v="2022-02-20T00:00:00"/>
    <x v="3"/>
  </r>
  <r>
    <s v="I100593"/>
    <s v="C240318"/>
    <x v="0"/>
    <n v="23"/>
    <x v="3"/>
    <x v="3"/>
    <n v="2"/>
    <n v="2100"/>
    <s v="Cash"/>
    <d v="2021-06-11T00:00:00"/>
    <x v="2"/>
  </r>
  <r>
    <s v="I100599"/>
    <s v="C114161"/>
    <x v="0"/>
    <n v="27"/>
    <x v="2"/>
    <x v="5"/>
    <n v="2"/>
    <n v="1200.3399999999999"/>
    <s v="Credit Card"/>
    <d v="2021-11-24T00:00:00"/>
    <x v="2"/>
  </r>
  <r>
    <s v="I100601"/>
    <s v="C180415"/>
    <x v="0"/>
    <n v="49"/>
    <x v="1"/>
    <x v="7"/>
    <n v="4"/>
    <n v="143.36000000000001"/>
    <s v="Cash"/>
    <d v="2022-06-09T00:00:00"/>
    <x v="2"/>
  </r>
  <r>
    <s v="I100607"/>
    <s v="C315778"/>
    <x v="0"/>
    <n v="60"/>
    <x v="1"/>
    <x v="0"/>
    <n v="5"/>
    <n v="1500.4"/>
    <s v="Debit Card"/>
    <d v="2021-11-27T00:00:00"/>
    <x v="5"/>
  </r>
  <r>
    <s v="I100610"/>
    <s v="C122598"/>
    <x v="0"/>
    <n v="64"/>
    <x v="0"/>
    <x v="2"/>
    <n v="5"/>
    <n v="75.75"/>
    <s v="Debit Card"/>
    <d v="2022-04-06T00:00:00"/>
    <x v="2"/>
  </r>
  <r>
    <s v="I100611"/>
    <s v="C234086"/>
    <x v="0"/>
    <n v="55"/>
    <x v="1"/>
    <x v="7"/>
    <n v="3"/>
    <n v="107.52"/>
    <s v="Cash"/>
    <d v="2022-03-21T00:00:00"/>
    <x v="7"/>
  </r>
  <r>
    <s v="I100614"/>
    <s v="C261517"/>
    <x v="1"/>
    <n v="41"/>
    <x v="4"/>
    <x v="1"/>
    <n v="5"/>
    <n v="203.3"/>
    <s v="Cash"/>
    <d v="2021-07-11T00:00:00"/>
    <x v="8"/>
  </r>
  <r>
    <s v="I100615"/>
    <s v="C197426"/>
    <x v="1"/>
    <n v="57"/>
    <x v="1"/>
    <x v="0"/>
    <n v="5"/>
    <n v="1500.4"/>
    <s v="Cash"/>
    <d v="2022-05-12T00:00:00"/>
    <x v="2"/>
  </r>
  <r>
    <s v="I100617"/>
    <s v="C745941"/>
    <x v="0"/>
    <n v="56"/>
    <x v="1"/>
    <x v="2"/>
    <n v="5"/>
    <n v="75.75"/>
    <s v="Cash"/>
    <d v="2022-07-06T00:00:00"/>
    <x v="4"/>
  </r>
  <r>
    <s v="I100618"/>
    <s v="C911820"/>
    <x v="0"/>
    <n v="23"/>
    <x v="3"/>
    <x v="2"/>
    <n v="2"/>
    <n v="30.3"/>
    <s v="Credit Card"/>
    <d v="2021-03-04T00:00:00"/>
    <x v="3"/>
  </r>
  <r>
    <s v="I100622"/>
    <s v="C306817"/>
    <x v="1"/>
    <n v="45"/>
    <x v="4"/>
    <x v="0"/>
    <n v="3"/>
    <n v="900.24"/>
    <s v="Credit Card"/>
    <d v="2023-01-18T00:00:00"/>
    <x v="5"/>
  </r>
  <r>
    <s v="I100624"/>
    <s v="C552809"/>
    <x v="1"/>
    <n v="26"/>
    <x v="2"/>
    <x v="0"/>
    <n v="5"/>
    <n v="1500.4"/>
    <s v="Debit Card"/>
    <d v="2021-03-05T00:00:00"/>
    <x v="3"/>
  </r>
  <r>
    <s v="I100627"/>
    <s v="C132581"/>
    <x v="0"/>
    <n v="54"/>
    <x v="1"/>
    <x v="2"/>
    <n v="3"/>
    <n v="45.45"/>
    <s v="Debit Card"/>
    <d v="2022-12-10T00:00:00"/>
    <x v="3"/>
  </r>
  <r>
    <s v="I100628"/>
    <s v="C135129"/>
    <x v="0"/>
    <n v="25"/>
    <x v="3"/>
    <x v="0"/>
    <n v="1"/>
    <n v="300.08"/>
    <s v="Cash"/>
    <d v="2022-04-09T00:00:00"/>
    <x v="1"/>
  </r>
  <r>
    <s v="I100630"/>
    <s v="C753708"/>
    <x v="1"/>
    <n v="66"/>
    <x v="0"/>
    <x v="4"/>
    <n v="4"/>
    <n v="20.92"/>
    <s v="Debit Card"/>
    <d v="2022-04-02T00:00:00"/>
    <x v="5"/>
  </r>
  <r>
    <s v="I100634"/>
    <s v="C461631"/>
    <x v="1"/>
    <n v="22"/>
    <x v="3"/>
    <x v="0"/>
    <n v="5"/>
    <n v="1500.4"/>
    <s v="Cash"/>
    <d v="2022-05-23T00:00:00"/>
    <x v="5"/>
  </r>
  <r>
    <s v="I100635"/>
    <s v="C289537"/>
    <x v="1"/>
    <n v="69"/>
    <x v="0"/>
    <x v="0"/>
    <n v="4"/>
    <n v="1200.32"/>
    <s v="Debit Card"/>
    <d v="2021-06-03T00:00:00"/>
    <x v="7"/>
  </r>
  <r>
    <s v="I100639"/>
    <s v="C231484"/>
    <x v="0"/>
    <n v="65"/>
    <x v="0"/>
    <x v="3"/>
    <n v="4"/>
    <n v="4200"/>
    <s v="Credit Card"/>
    <d v="2022-05-02T00:00:00"/>
    <x v="3"/>
  </r>
  <r>
    <s v="I100651"/>
    <s v="C180588"/>
    <x v="1"/>
    <n v="41"/>
    <x v="4"/>
    <x v="1"/>
    <n v="2"/>
    <n v="81.319999999999993"/>
    <s v="Credit Card"/>
    <d v="2021-09-15T00:00:00"/>
    <x v="7"/>
  </r>
  <r>
    <s v="I100652"/>
    <s v="C214732"/>
    <x v="1"/>
    <n v="67"/>
    <x v="0"/>
    <x v="0"/>
    <n v="2"/>
    <n v="600.16"/>
    <s v="Credit Card"/>
    <d v="2023-01-17T00:00:00"/>
    <x v="8"/>
  </r>
  <r>
    <s v="I100656"/>
    <s v="C337441"/>
    <x v="1"/>
    <n v="54"/>
    <x v="1"/>
    <x v="1"/>
    <n v="2"/>
    <n v="81.319999999999993"/>
    <s v="Cash"/>
    <d v="2023-02-18T00:00:00"/>
    <x v="7"/>
  </r>
  <r>
    <s v="I100659"/>
    <s v="C562791"/>
    <x v="0"/>
    <n v="27"/>
    <x v="2"/>
    <x v="6"/>
    <n v="3"/>
    <n v="35.19"/>
    <s v="Cash"/>
    <d v="2021-07-14T00:00:00"/>
    <x v="0"/>
  </r>
  <r>
    <s v="I100663"/>
    <s v="C322131"/>
    <x v="1"/>
    <n v="41"/>
    <x v="4"/>
    <x v="4"/>
    <n v="5"/>
    <n v="26.15"/>
    <s v="Cash"/>
    <d v="2021-09-26T00:00:00"/>
    <x v="2"/>
  </r>
  <r>
    <s v="I100664"/>
    <s v="C603641"/>
    <x v="0"/>
    <n v="62"/>
    <x v="0"/>
    <x v="0"/>
    <n v="2"/>
    <n v="600.16"/>
    <s v="Debit Card"/>
    <d v="2021-10-19T00:00:00"/>
    <x v="2"/>
  </r>
  <r>
    <s v="I100666"/>
    <s v="C996052"/>
    <x v="1"/>
    <n v="62"/>
    <x v="0"/>
    <x v="2"/>
    <n v="2"/>
    <n v="30.3"/>
    <s v="Cash"/>
    <d v="2022-04-02T00:00:00"/>
    <x v="3"/>
  </r>
  <r>
    <s v="I100671"/>
    <s v="C284324"/>
    <x v="0"/>
    <n v="28"/>
    <x v="2"/>
    <x v="0"/>
    <n v="1"/>
    <n v="300.08"/>
    <s v="Cash"/>
    <d v="2021-05-03T00:00:00"/>
    <x v="3"/>
  </r>
  <r>
    <s v="I100682"/>
    <s v="C134970"/>
    <x v="0"/>
    <n v="58"/>
    <x v="1"/>
    <x v="7"/>
    <n v="4"/>
    <n v="143.36000000000001"/>
    <s v="Cash"/>
    <d v="2021-03-22T00:00:00"/>
    <x v="9"/>
  </r>
  <r>
    <s v="I100684"/>
    <s v="C175424"/>
    <x v="0"/>
    <n v="30"/>
    <x v="2"/>
    <x v="1"/>
    <n v="5"/>
    <n v="203.3"/>
    <s v="Credit Card"/>
    <d v="2021-08-11T00:00:00"/>
    <x v="0"/>
  </r>
  <r>
    <s v="I100685"/>
    <s v="C263059"/>
    <x v="0"/>
    <n v="60"/>
    <x v="1"/>
    <x v="6"/>
    <n v="2"/>
    <n v="23.46"/>
    <s v="Debit Card"/>
    <d v="2021-05-24T00:00:00"/>
    <x v="6"/>
  </r>
  <r>
    <s v="I100691"/>
    <s v="C116434"/>
    <x v="1"/>
    <n v="35"/>
    <x v="2"/>
    <x v="0"/>
    <n v="2"/>
    <n v="600.16"/>
    <s v="Cash"/>
    <d v="2022-04-26T00:00:00"/>
    <x v="1"/>
  </r>
  <r>
    <s v="I100694"/>
    <s v="C318405"/>
    <x v="1"/>
    <n v="62"/>
    <x v="0"/>
    <x v="4"/>
    <n v="4"/>
    <n v="20.92"/>
    <s v="Cash"/>
    <d v="2022-11-27T00:00:00"/>
    <x v="5"/>
  </r>
  <r>
    <s v="I100696"/>
    <s v="C131827"/>
    <x v="0"/>
    <n v="44"/>
    <x v="4"/>
    <x v="0"/>
    <n v="2"/>
    <n v="600.16"/>
    <s v="Cash"/>
    <d v="2021-07-12T00:00:00"/>
    <x v="3"/>
  </r>
  <r>
    <s v="I100697"/>
    <s v="C159194"/>
    <x v="1"/>
    <n v="31"/>
    <x v="2"/>
    <x v="0"/>
    <n v="4"/>
    <n v="1200.32"/>
    <s v="Cash"/>
    <d v="2021-12-19T00:00:00"/>
    <x v="5"/>
  </r>
  <r>
    <s v="I100699"/>
    <s v="C844692"/>
    <x v="0"/>
    <n v="44"/>
    <x v="4"/>
    <x v="2"/>
    <n v="1"/>
    <n v="15.15"/>
    <s v="Credit Card"/>
    <d v="2021-03-07T00:00:00"/>
    <x v="2"/>
  </r>
  <r>
    <s v="I100700"/>
    <s v="C831975"/>
    <x v="1"/>
    <n v="60"/>
    <x v="1"/>
    <x v="0"/>
    <n v="4"/>
    <n v="1200.32"/>
    <s v="Credit Card"/>
    <d v="2021-10-24T00:00:00"/>
    <x v="1"/>
  </r>
  <r>
    <s v="I100703"/>
    <s v="C263996"/>
    <x v="0"/>
    <n v="36"/>
    <x v="4"/>
    <x v="0"/>
    <n v="2"/>
    <n v="600.16"/>
    <s v="Cash"/>
    <d v="2022-08-08T00:00:00"/>
    <x v="3"/>
  </r>
  <r>
    <s v="I100704"/>
    <s v="C864065"/>
    <x v="0"/>
    <n v="24"/>
    <x v="3"/>
    <x v="3"/>
    <n v="2"/>
    <n v="2100"/>
    <s v="Debit Card"/>
    <d v="2021-04-30T00:00:00"/>
    <x v="2"/>
  </r>
  <r>
    <s v="I100709"/>
    <s v="C156430"/>
    <x v="1"/>
    <n v="40"/>
    <x v="4"/>
    <x v="0"/>
    <n v="3"/>
    <n v="900.24"/>
    <s v="Debit Card"/>
    <d v="2021-08-18T00:00:00"/>
    <x v="2"/>
  </r>
  <r>
    <s v="I100719"/>
    <s v="C193403"/>
    <x v="0"/>
    <n v="69"/>
    <x v="0"/>
    <x v="7"/>
    <n v="2"/>
    <n v="71.680000000000007"/>
    <s v="Cash"/>
    <d v="2022-07-17T00:00:00"/>
    <x v="4"/>
  </r>
  <r>
    <s v="I100721"/>
    <s v="C993556"/>
    <x v="1"/>
    <n v="51"/>
    <x v="1"/>
    <x v="0"/>
    <n v="2"/>
    <n v="600.16"/>
    <s v="Debit Card"/>
    <d v="2022-05-02T00:00:00"/>
    <x v="5"/>
  </r>
  <r>
    <s v="I100723"/>
    <s v="C150582"/>
    <x v="1"/>
    <n v="38"/>
    <x v="4"/>
    <x v="7"/>
    <n v="1"/>
    <n v="35.840000000000003"/>
    <s v="Debit Card"/>
    <d v="2021-02-08T00:00:00"/>
    <x v="2"/>
  </r>
  <r>
    <s v="I100731"/>
    <s v="C868764"/>
    <x v="1"/>
    <n v="28"/>
    <x v="2"/>
    <x v="2"/>
    <n v="1"/>
    <n v="15.15"/>
    <s v="Debit Card"/>
    <d v="2022-12-29T00:00:00"/>
    <x v="0"/>
  </r>
  <r>
    <s v="I100733"/>
    <s v="C932952"/>
    <x v="1"/>
    <n v="42"/>
    <x v="4"/>
    <x v="2"/>
    <n v="1"/>
    <n v="15.15"/>
    <s v="Cash"/>
    <d v="2022-02-28T00:00:00"/>
    <x v="5"/>
  </r>
  <r>
    <s v="I100735"/>
    <s v="C107829"/>
    <x v="1"/>
    <n v="44"/>
    <x v="4"/>
    <x v="6"/>
    <n v="4"/>
    <n v="46.92"/>
    <s v="Debit Card"/>
    <d v="2022-02-02T00:00:00"/>
    <x v="7"/>
  </r>
  <r>
    <s v="I100738"/>
    <s v="C155129"/>
    <x v="0"/>
    <n v="20"/>
    <x v="3"/>
    <x v="0"/>
    <n v="2"/>
    <n v="600.16"/>
    <s v="Debit Card"/>
    <d v="2022-03-31T00:00:00"/>
    <x v="5"/>
  </r>
  <r>
    <s v="I100741"/>
    <s v="C828874"/>
    <x v="0"/>
    <n v="41"/>
    <x v="4"/>
    <x v="1"/>
    <n v="5"/>
    <n v="203.3"/>
    <s v="Debit Card"/>
    <d v="2021-01-05T00:00:00"/>
    <x v="8"/>
  </r>
  <r>
    <s v="I100742"/>
    <s v="C422142"/>
    <x v="1"/>
    <n v="58"/>
    <x v="1"/>
    <x v="4"/>
    <n v="3"/>
    <n v="15.69"/>
    <s v="Credit Card"/>
    <d v="2022-04-05T00:00:00"/>
    <x v="7"/>
  </r>
  <r>
    <s v="I100744"/>
    <s v="C146601"/>
    <x v="1"/>
    <n v="50"/>
    <x v="1"/>
    <x v="0"/>
    <n v="4"/>
    <n v="1200.32"/>
    <s v="Cash"/>
    <d v="2022-03-31T00:00:00"/>
    <x v="5"/>
  </r>
  <r>
    <s v="I100749"/>
    <s v="C272878"/>
    <x v="1"/>
    <n v="52"/>
    <x v="1"/>
    <x v="7"/>
    <n v="2"/>
    <n v="71.680000000000007"/>
    <s v="Cash"/>
    <d v="2021-03-04T00:00:00"/>
    <x v="3"/>
  </r>
  <r>
    <s v="I100756"/>
    <s v="C771102"/>
    <x v="0"/>
    <n v="31"/>
    <x v="2"/>
    <x v="0"/>
    <n v="1"/>
    <n v="300.08"/>
    <s v="Cash"/>
    <d v="2023-02-17T00:00:00"/>
    <x v="2"/>
  </r>
  <r>
    <s v="I100760"/>
    <s v="C800785"/>
    <x v="1"/>
    <n v="18"/>
    <x v="3"/>
    <x v="2"/>
    <n v="4"/>
    <n v="60.6"/>
    <s v="Credit Card"/>
    <d v="2021-01-19T00:00:00"/>
    <x v="2"/>
  </r>
  <r>
    <s v="I100762"/>
    <s v="C183883"/>
    <x v="1"/>
    <n v="49"/>
    <x v="1"/>
    <x v="0"/>
    <n v="1"/>
    <n v="300.08"/>
    <s v="Debit Card"/>
    <d v="2023-01-11T00:00:00"/>
    <x v="4"/>
  </r>
  <r>
    <s v="I100763"/>
    <s v="C264447"/>
    <x v="1"/>
    <n v="35"/>
    <x v="2"/>
    <x v="1"/>
    <n v="4"/>
    <n v="162.63999999999999"/>
    <s v="Cash"/>
    <d v="2022-07-10T00:00:00"/>
    <x v="8"/>
  </r>
  <r>
    <s v="I100764"/>
    <s v="C564073"/>
    <x v="0"/>
    <n v="54"/>
    <x v="1"/>
    <x v="1"/>
    <n v="3"/>
    <n v="121.98"/>
    <s v="Credit Card"/>
    <d v="2023-02-07T00:00:00"/>
    <x v="9"/>
  </r>
  <r>
    <s v="I100768"/>
    <s v="C223065"/>
    <x v="1"/>
    <n v="49"/>
    <x v="1"/>
    <x v="1"/>
    <n v="3"/>
    <n v="121.98"/>
    <s v="Cash"/>
    <d v="2022-05-28T00:00:00"/>
    <x v="5"/>
  </r>
  <r>
    <s v="I100770"/>
    <s v="C140792"/>
    <x v="1"/>
    <n v="61"/>
    <x v="0"/>
    <x v="7"/>
    <n v="5"/>
    <n v="179.2"/>
    <s v="Credit Card"/>
    <d v="2021-04-10T00:00:00"/>
    <x v="7"/>
  </r>
  <r>
    <s v="I100771"/>
    <s v="C235228"/>
    <x v="1"/>
    <n v="23"/>
    <x v="3"/>
    <x v="4"/>
    <n v="3"/>
    <n v="15.69"/>
    <s v="Credit Card"/>
    <d v="2022-03-07T00:00:00"/>
    <x v="9"/>
  </r>
  <r>
    <s v="I100775"/>
    <s v="C981100"/>
    <x v="0"/>
    <n v="23"/>
    <x v="3"/>
    <x v="1"/>
    <n v="5"/>
    <n v="203.3"/>
    <s v="Cash"/>
    <d v="2021-04-02T00:00:00"/>
    <x v="7"/>
  </r>
  <r>
    <s v="I100777"/>
    <s v="C303252"/>
    <x v="1"/>
    <n v="38"/>
    <x v="4"/>
    <x v="7"/>
    <n v="3"/>
    <n v="107.52"/>
    <s v="Credit Card"/>
    <d v="2021-10-29T00:00:00"/>
    <x v="5"/>
  </r>
  <r>
    <s v="I100780"/>
    <s v="C191396"/>
    <x v="1"/>
    <n v="62"/>
    <x v="0"/>
    <x v="2"/>
    <n v="3"/>
    <n v="45.45"/>
    <s v="Credit Card"/>
    <d v="2021-04-06T00:00:00"/>
    <x v="2"/>
  </r>
  <r>
    <s v="I100782"/>
    <s v="C582964"/>
    <x v="0"/>
    <n v="55"/>
    <x v="1"/>
    <x v="4"/>
    <n v="3"/>
    <n v="15.69"/>
    <s v="Debit Card"/>
    <d v="2022-03-11T00:00:00"/>
    <x v="4"/>
  </r>
  <r>
    <s v="I100791"/>
    <s v="C289735"/>
    <x v="1"/>
    <n v="39"/>
    <x v="4"/>
    <x v="1"/>
    <n v="4"/>
    <n v="162.63999999999999"/>
    <s v="Cash"/>
    <d v="2021-10-11T00:00:00"/>
    <x v="7"/>
  </r>
  <r>
    <s v="I100793"/>
    <s v="C328805"/>
    <x v="0"/>
    <n v="29"/>
    <x v="2"/>
    <x v="1"/>
    <n v="3"/>
    <n v="121.98"/>
    <s v="Cash"/>
    <d v="2021-03-15T00:00:00"/>
    <x v="9"/>
  </r>
  <r>
    <s v="I100795"/>
    <s v="C232822"/>
    <x v="0"/>
    <n v="62"/>
    <x v="0"/>
    <x v="2"/>
    <n v="2"/>
    <n v="30.3"/>
    <s v="Debit Card"/>
    <d v="2022-07-06T00:00:00"/>
    <x v="5"/>
  </r>
  <r>
    <s v="I100797"/>
    <s v="C224221"/>
    <x v="0"/>
    <n v="23"/>
    <x v="3"/>
    <x v="5"/>
    <n v="4"/>
    <n v="2400.6799999999998"/>
    <s v="Credit Card"/>
    <d v="2021-10-17T00:00:00"/>
    <x v="7"/>
  </r>
  <r>
    <s v="I100803"/>
    <s v="C273636"/>
    <x v="1"/>
    <n v="38"/>
    <x v="4"/>
    <x v="2"/>
    <n v="5"/>
    <n v="75.75"/>
    <s v="Cash"/>
    <d v="2023-02-24T00:00:00"/>
    <x v="2"/>
  </r>
  <r>
    <s v="I100812"/>
    <s v="C208761"/>
    <x v="1"/>
    <n v="66"/>
    <x v="0"/>
    <x v="0"/>
    <n v="5"/>
    <n v="1500.4"/>
    <s v="Credit Card"/>
    <d v="2022-03-24T00:00:00"/>
    <x v="7"/>
  </r>
  <r>
    <s v="I100813"/>
    <s v="C250804"/>
    <x v="0"/>
    <n v="63"/>
    <x v="0"/>
    <x v="0"/>
    <n v="2"/>
    <n v="600.16"/>
    <s v="Cash"/>
    <d v="2022-03-18T00:00:00"/>
    <x v="0"/>
  </r>
  <r>
    <s v="I100814"/>
    <s v="C130818"/>
    <x v="1"/>
    <n v="38"/>
    <x v="4"/>
    <x v="2"/>
    <n v="3"/>
    <n v="45.45"/>
    <s v="Credit Card"/>
    <d v="2022-08-12T00:00:00"/>
    <x v="2"/>
  </r>
  <r>
    <s v="I100815"/>
    <s v="C222582"/>
    <x v="0"/>
    <n v="50"/>
    <x v="1"/>
    <x v="7"/>
    <n v="4"/>
    <n v="143.36000000000001"/>
    <s v="Cash"/>
    <d v="2022-04-19T00:00:00"/>
    <x v="5"/>
  </r>
  <r>
    <s v="I100818"/>
    <s v="C151068"/>
    <x v="1"/>
    <n v="21"/>
    <x v="3"/>
    <x v="4"/>
    <n v="3"/>
    <n v="15.69"/>
    <s v="Cash"/>
    <d v="2021-01-08T00:00:00"/>
    <x v="2"/>
  </r>
  <r>
    <s v="I100820"/>
    <s v="C180870"/>
    <x v="0"/>
    <n v="20"/>
    <x v="3"/>
    <x v="4"/>
    <n v="2"/>
    <n v="10.46"/>
    <s v="Cash"/>
    <d v="2021-12-26T00:00:00"/>
    <x v="3"/>
  </r>
  <r>
    <s v="I100822"/>
    <s v="C336505"/>
    <x v="0"/>
    <n v="55"/>
    <x v="1"/>
    <x v="1"/>
    <n v="1"/>
    <n v="40.659999999999997"/>
    <s v="Cash"/>
    <d v="2021-11-15T00:00:00"/>
    <x v="4"/>
  </r>
  <r>
    <s v="I100829"/>
    <s v="C115788"/>
    <x v="0"/>
    <n v="32"/>
    <x v="2"/>
    <x v="6"/>
    <n v="5"/>
    <n v="58.65"/>
    <s v="Credit Card"/>
    <d v="2021-07-30T00:00:00"/>
    <x v="9"/>
  </r>
  <r>
    <s v="I100835"/>
    <s v="C259176"/>
    <x v="1"/>
    <n v="43"/>
    <x v="4"/>
    <x v="0"/>
    <n v="5"/>
    <n v="1500.4"/>
    <s v="Debit Card"/>
    <d v="2022-08-27T00:00:00"/>
    <x v="1"/>
  </r>
  <r>
    <s v="I100837"/>
    <s v="C827434"/>
    <x v="0"/>
    <n v="65"/>
    <x v="0"/>
    <x v="0"/>
    <n v="1"/>
    <n v="300.08"/>
    <s v="Cash"/>
    <d v="2023-01-12T00:00:00"/>
    <x v="8"/>
  </r>
  <r>
    <s v="I100842"/>
    <s v="C143467"/>
    <x v="1"/>
    <n v="45"/>
    <x v="4"/>
    <x v="4"/>
    <n v="5"/>
    <n v="26.15"/>
    <s v="Credit Card"/>
    <d v="2021-06-08T00:00:00"/>
    <x v="6"/>
  </r>
  <r>
    <s v="I100843"/>
    <s v="C170564"/>
    <x v="1"/>
    <n v="54"/>
    <x v="1"/>
    <x v="0"/>
    <n v="4"/>
    <n v="1200.32"/>
    <s v="Debit Card"/>
    <d v="2022-01-17T00:00:00"/>
    <x v="7"/>
  </r>
  <r>
    <s v="I100851"/>
    <s v="C256797"/>
    <x v="1"/>
    <n v="32"/>
    <x v="2"/>
    <x v="1"/>
    <n v="1"/>
    <n v="40.659999999999997"/>
    <s v="Credit Card"/>
    <d v="2022-09-10T00:00:00"/>
    <x v="9"/>
  </r>
  <r>
    <s v="I100855"/>
    <s v="C125109"/>
    <x v="1"/>
    <n v="63"/>
    <x v="0"/>
    <x v="0"/>
    <n v="3"/>
    <n v="900.24"/>
    <s v="Credit Card"/>
    <d v="2021-06-25T00:00:00"/>
    <x v="0"/>
  </r>
  <r>
    <s v="I100856"/>
    <s v="C475330"/>
    <x v="0"/>
    <n v="44"/>
    <x v="4"/>
    <x v="4"/>
    <n v="3"/>
    <n v="15.69"/>
    <s v="Cash"/>
    <d v="2022-06-09T00:00:00"/>
    <x v="7"/>
  </r>
  <r>
    <s v="I100861"/>
    <s v="C281937"/>
    <x v="1"/>
    <n v="49"/>
    <x v="1"/>
    <x v="1"/>
    <n v="2"/>
    <n v="81.319999999999993"/>
    <s v="Cash"/>
    <d v="2022-12-24T00:00:00"/>
    <x v="1"/>
  </r>
  <r>
    <s v="I100863"/>
    <s v="C302400"/>
    <x v="0"/>
    <n v="35"/>
    <x v="2"/>
    <x v="4"/>
    <n v="2"/>
    <n v="10.46"/>
    <s v="Cash"/>
    <d v="2023-01-04T00:00:00"/>
    <x v="0"/>
  </r>
  <r>
    <s v="I100865"/>
    <s v="C234663"/>
    <x v="1"/>
    <n v="44"/>
    <x v="4"/>
    <x v="1"/>
    <n v="3"/>
    <n v="121.98"/>
    <s v="Cash"/>
    <d v="2022-02-10T00:00:00"/>
    <x v="9"/>
  </r>
  <r>
    <s v="I100866"/>
    <s v="C265260"/>
    <x v="1"/>
    <n v="54"/>
    <x v="1"/>
    <x v="4"/>
    <n v="3"/>
    <n v="15.69"/>
    <s v="Cash"/>
    <d v="2021-08-16T00:00:00"/>
    <x v="3"/>
  </r>
  <r>
    <s v="I100870"/>
    <s v="C236060"/>
    <x v="0"/>
    <n v="46"/>
    <x v="1"/>
    <x v="2"/>
    <n v="2"/>
    <n v="30.3"/>
    <s v="Cash"/>
    <d v="2023-03-02T00:00:00"/>
    <x v="3"/>
  </r>
  <r>
    <s v="I100875"/>
    <s v="C232349"/>
    <x v="1"/>
    <n v="20"/>
    <x v="3"/>
    <x v="7"/>
    <n v="2"/>
    <n v="71.680000000000007"/>
    <s v="Cash"/>
    <d v="2021-09-02T00:00:00"/>
    <x v="2"/>
  </r>
  <r>
    <s v="I100880"/>
    <s v="C217725"/>
    <x v="1"/>
    <n v="39"/>
    <x v="4"/>
    <x v="5"/>
    <n v="3"/>
    <n v="1800.51"/>
    <s v="Cash"/>
    <d v="2021-01-13T00:00:00"/>
    <x v="7"/>
  </r>
  <r>
    <s v="I100881"/>
    <s v="C332806"/>
    <x v="0"/>
    <n v="32"/>
    <x v="2"/>
    <x v="6"/>
    <n v="1"/>
    <n v="11.73"/>
    <s v="Debit Card"/>
    <d v="2021-05-06T00:00:00"/>
    <x v="5"/>
  </r>
  <r>
    <s v="I100884"/>
    <s v="C729531"/>
    <x v="1"/>
    <n v="37"/>
    <x v="4"/>
    <x v="6"/>
    <n v="1"/>
    <n v="11.73"/>
    <s v="Cash"/>
    <d v="2023-02-15T00:00:00"/>
    <x v="3"/>
  </r>
  <r>
    <s v="I100885"/>
    <s v="C102033"/>
    <x v="0"/>
    <n v="38"/>
    <x v="4"/>
    <x v="2"/>
    <n v="5"/>
    <n v="75.75"/>
    <s v="Cash"/>
    <d v="2021-09-01T00:00:00"/>
    <x v="2"/>
  </r>
  <r>
    <s v="I100886"/>
    <s v="C676444"/>
    <x v="1"/>
    <n v="41"/>
    <x v="4"/>
    <x v="1"/>
    <n v="5"/>
    <n v="203.3"/>
    <s v="Cash"/>
    <d v="2021-12-19T00:00:00"/>
    <x v="3"/>
  </r>
  <r>
    <s v="I100897"/>
    <s v="C402407"/>
    <x v="0"/>
    <n v="61"/>
    <x v="0"/>
    <x v="5"/>
    <n v="4"/>
    <n v="2400.6799999999998"/>
    <s v="Credit Card"/>
    <d v="2022-10-05T00:00:00"/>
    <x v="5"/>
  </r>
  <r>
    <s v="I100899"/>
    <s v="C256232"/>
    <x v="0"/>
    <n v="30"/>
    <x v="2"/>
    <x v="0"/>
    <n v="5"/>
    <n v="1500.4"/>
    <s v="Cash"/>
    <d v="2022-06-23T00:00:00"/>
    <x v="5"/>
  </r>
  <r>
    <s v="I100900"/>
    <s v="C221280"/>
    <x v="0"/>
    <n v="20"/>
    <x v="3"/>
    <x v="4"/>
    <n v="5"/>
    <n v="26.15"/>
    <s v="Cash"/>
    <d v="2021-08-22T00:00:00"/>
    <x v="1"/>
  </r>
  <r>
    <s v="I100901"/>
    <s v="C178198"/>
    <x v="1"/>
    <n v="41"/>
    <x v="4"/>
    <x v="0"/>
    <n v="1"/>
    <n v="300.08"/>
    <s v="Debit Card"/>
    <d v="2022-06-17T00:00:00"/>
    <x v="5"/>
  </r>
  <r>
    <s v="I100903"/>
    <s v="C702152"/>
    <x v="1"/>
    <n v="21"/>
    <x v="3"/>
    <x v="0"/>
    <n v="3"/>
    <n v="900.24"/>
    <s v="Debit Card"/>
    <d v="2021-12-20T00:00:00"/>
    <x v="3"/>
  </r>
  <r>
    <s v="I100904"/>
    <s v="C138573"/>
    <x v="0"/>
    <n v="32"/>
    <x v="2"/>
    <x v="4"/>
    <n v="5"/>
    <n v="26.15"/>
    <s v="Debit Card"/>
    <d v="2022-12-23T00:00:00"/>
    <x v="5"/>
  </r>
  <r>
    <s v="I100911"/>
    <s v="C330379"/>
    <x v="1"/>
    <n v="18"/>
    <x v="3"/>
    <x v="3"/>
    <n v="1"/>
    <n v="1050"/>
    <s v="Credit Card"/>
    <d v="2021-08-29T00:00:00"/>
    <x v="3"/>
  </r>
  <r>
    <s v="I100913"/>
    <s v="C229817"/>
    <x v="1"/>
    <n v="41"/>
    <x v="4"/>
    <x v="5"/>
    <n v="4"/>
    <n v="2400.6799999999998"/>
    <s v="Cash"/>
    <d v="2022-08-26T00:00:00"/>
    <x v="1"/>
  </r>
  <r>
    <s v="I100914"/>
    <s v="C299493"/>
    <x v="1"/>
    <n v="22"/>
    <x v="3"/>
    <x v="4"/>
    <n v="1"/>
    <n v="5.23"/>
    <s v="Credit Card"/>
    <d v="2022-09-17T00:00:00"/>
    <x v="5"/>
  </r>
  <r>
    <s v="I100919"/>
    <s v="C189282"/>
    <x v="1"/>
    <n v="31"/>
    <x v="2"/>
    <x v="1"/>
    <n v="1"/>
    <n v="40.659999999999997"/>
    <s v="Credit Card"/>
    <d v="2021-05-04T00:00:00"/>
    <x v="5"/>
  </r>
  <r>
    <s v="I100921"/>
    <s v="C323178"/>
    <x v="1"/>
    <n v="53"/>
    <x v="1"/>
    <x v="1"/>
    <n v="4"/>
    <n v="162.63999999999999"/>
    <s v="Credit Card"/>
    <d v="2021-08-25T00:00:00"/>
    <x v="3"/>
  </r>
  <r>
    <s v="I100922"/>
    <s v="C185007"/>
    <x v="1"/>
    <n v="31"/>
    <x v="2"/>
    <x v="1"/>
    <n v="3"/>
    <n v="121.98"/>
    <s v="Cash"/>
    <d v="2021-12-19T00:00:00"/>
    <x v="2"/>
  </r>
  <r>
    <s v="I100923"/>
    <s v="C139812"/>
    <x v="1"/>
    <n v="41"/>
    <x v="4"/>
    <x v="4"/>
    <n v="1"/>
    <n v="5.23"/>
    <s v="Credit Card"/>
    <d v="2022-04-08T00:00:00"/>
    <x v="9"/>
  </r>
  <r>
    <s v="I100929"/>
    <s v="C224506"/>
    <x v="0"/>
    <n v="59"/>
    <x v="1"/>
    <x v="1"/>
    <n v="1"/>
    <n v="40.659999999999997"/>
    <s v="Credit Card"/>
    <d v="2021-02-12T00:00:00"/>
    <x v="2"/>
  </r>
  <r>
    <s v="I100932"/>
    <s v="C204475"/>
    <x v="0"/>
    <n v="43"/>
    <x v="4"/>
    <x v="0"/>
    <n v="2"/>
    <n v="600.16"/>
    <s v="Cash"/>
    <d v="2022-10-28T00:00:00"/>
    <x v="2"/>
  </r>
  <r>
    <s v="I100936"/>
    <s v="C331442"/>
    <x v="1"/>
    <n v="35"/>
    <x v="2"/>
    <x v="0"/>
    <n v="1"/>
    <n v="300.08"/>
    <s v="Debit Card"/>
    <d v="2021-06-21T00:00:00"/>
    <x v="2"/>
  </r>
  <r>
    <s v="I100953"/>
    <s v="C250015"/>
    <x v="1"/>
    <n v="46"/>
    <x v="1"/>
    <x v="5"/>
    <n v="4"/>
    <n v="2400.6799999999998"/>
    <s v="Cash"/>
    <d v="2022-02-25T00:00:00"/>
    <x v="9"/>
  </r>
  <r>
    <s v="I100960"/>
    <s v="C156642"/>
    <x v="1"/>
    <n v="57"/>
    <x v="1"/>
    <x v="2"/>
    <n v="3"/>
    <n v="45.45"/>
    <s v="Cash"/>
    <d v="2023-01-31T00:00:00"/>
    <x v="5"/>
  </r>
  <r>
    <s v="I100961"/>
    <s v="C157517"/>
    <x v="1"/>
    <n v="47"/>
    <x v="1"/>
    <x v="0"/>
    <n v="2"/>
    <n v="600.16"/>
    <s v="Cash"/>
    <d v="2022-04-27T00:00:00"/>
    <x v="6"/>
  </r>
  <r>
    <s v="I100963"/>
    <s v="C500323"/>
    <x v="1"/>
    <n v="35"/>
    <x v="2"/>
    <x v="2"/>
    <n v="1"/>
    <n v="15.15"/>
    <s v="Debit Card"/>
    <d v="2021-06-17T00:00:00"/>
    <x v="8"/>
  </r>
  <r>
    <s v="I100964"/>
    <s v="C253827"/>
    <x v="0"/>
    <n v="29"/>
    <x v="2"/>
    <x v="1"/>
    <n v="4"/>
    <n v="162.63999999999999"/>
    <s v="Cash"/>
    <d v="2021-07-19T00:00:00"/>
    <x v="2"/>
  </r>
  <r>
    <s v="I100965"/>
    <s v="C336119"/>
    <x v="1"/>
    <n v="63"/>
    <x v="0"/>
    <x v="5"/>
    <n v="4"/>
    <n v="2400.6799999999998"/>
    <s v="Cash"/>
    <d v="2021-06-25T00:00:00"/>
    <x v="0"/>
  </r>
  <r>
    <s v="I100969"/>
    <s v="C242347"/>
    <x v="0"/>
    <n v="51"/>
    <x v="1"/>
    <x v="0"/>
    <n v="1"/>
    <n v="300.08"/>
    <s v="Credit Card"/>
    <d v="2021-06-09T00:00:00"/>
    <x v="9"/>
  </r>
  <r>
    <s v="I100977"/>
    <s v="C221903"/>
    <x v="1"/>
    <n v="27"/>
    <x v="2"/>
    <x v="7"/>
    <n v="3"/>
    <n v="107.52"/>
    <s v="Debit Card"/>
    <d v="2022-09-05T00:00:00"/>
    <x v="3"/>
  </r>
  <r>
    <s v="I100978"/>
    <s v="C172330"/>
    <x v="1"/>
    <n v="24"/>
    <x v="3"/>
    <x v="1"/>
    <n v="5"/>
    <n v="203.3"/>
    <s v="Cash"/>
    <d v="2022-06-18T00:00:00"/>
    <x v="3"/>
  </r>
  <r>
    <s v="I100981"/>
    <s v="C116368"/>
    <x v="1"/>
    <n v="33"/>
    <x v="2"/>
    <x v="0"/>
    <n v="2"/>
    <n v="600.16"/>
    <s v="Credit Card"/>
    <d v="2023-01-29T00:00:00"/>
    <x v="7"/>
  </r>
  <r>
    <s v="I100983"/>
    <s v="C203462"/>
    <x v="1"/>
    <n v="67"/>
    <x v="0"/>
    <x v="0"/>
    <n v="1"/>
    <n v="300.08"/>
    <s v="Credit Card"/>
    <d v="2022-05-29T00:00:00"/>
    <x v="4"/>
  </r>
  <r>
    <s v="I100988"/>
    <s v="C202289"/>
    <x v="0"/>
    <n v="37"/>
    <x v="4"/>
    <x v="0"/>
    <n v="2"/>
    <n v="600.16"/>
    <s v="Cash"/>
    <d v="2022-09-27T00:00:00"/>
    <x v="9"/>
  </r>
  <r>
    <s v="I100991"/>
    <s v="C326660"/>
    <x v="0"/>
    <n v="29"/>
    <x v="2"/>
    <x v="5"/>
    <n v="5"/>
    <n v="3000.85"/>
    <s v="Debit Card"/>
    <d v="2021-03-07T00:00:00"/>
    <x v="7"/>
  </r>
  <r>
    <s v="I100998"/>
    <s v="C253884"/>
    <x v="0"/>
    <n v="24"/>
    <x v="3"/>
    <x v="7"/>
    <n v="3"/>
    <n v="107.52"/>
    <s v="Debit Card"/>
    <d v="2021-09-10T00:00:00"/>
    <x v="5"/>
  </r>
  <r>
    <s v="I101008"/>
    <s v="C314812"/>
    <x v="0"/>
    <n v="62"/>
    <x v="0"/>
    <x v="5"/>
    <n v="3"/>
    <n v="1800.51"/>
    <s v="Cash"/>
    <d v="2022-04-09T00:00:00"/>
    <x v="9"/>
  </r>
  <r>
    <s v="I101010"/>
    <s v="C766878"/>
    <x v="1"/>
    <n v="56"/>
    <x v="1"/>
    <x v="0"/>
    <n v="2"/>
    <n v="600.16"/>
    <s v="Debit Card"/>
    <d v="2022-03-07T00:00:00"/>
    <x v="0"/>
  </r>
  <r>
    <s v="I101017"/>
    <s v="C124932"/>
    <x v="1"/>
    <n v="40"/>
    <x v="4"/>
    <x v="5"/>
    <n v="5"/>
    <n v="3000.85"/>
    <s v="Cash"/>
    <d v="2022-07-24T00:00:00"/>
    <x v="2"/>
  </r>
  <r>
    <s v="I101018"/>
    <s v="C266367"/>
    <x v="1"/>
    <n v="26"/>
    <x v="2"/>
    <x v="4"/>
    <n v="1"/>
    <n v="5.23"/>
    <s v="Debit Card"/>
    <d v="2022-12-20T00:00:00"/>
    <x v="6"/>
  </r>
  <r>
    <s v="I101022"/>
    <s v="C237146"/>
    <x v="1"/>
    <n v="25"/>
    <x v="3"/>
    <x v="7"/>
    <n v="3"/>
    <n v="107.52"/>
    <s v="Credit Card"/>
    <d v="2021-09-21T00:00:00"/>
    <x v="5"/>
  </r>
  <r>
    <s v="I101031"/>
    <s v="C215753"/>
    <x v="1"/>
    <n v="52"/>
    <x v="1"/>
    <x v="1"/>
    <n v="4"/>
    <n v="162.63999999999999"/>
    <s v="Credit Card"/>
    <d v="2021-11-18T00:00:00"/>
    <x v="7"/>
  </r>
  <r>
    <s v="I101034"/>
    <s v="C722304"/>
    <x v="0"/>
    <n v="19"/>
    <x v="3"/>
    <x v="7"/>
    <n v="5"/>
    <n v="179.2"/>
    <s v="Cash"/>
    <d v="2022-02-26T00:00:00"/>
    <x v="3"/>
  </r>
  <r>
    <s v="I101037"/>
    <s v="C216533"/>
    <x v="1"/>
    <n v="30"/>
    <x v="2"/>
    <x v="6"/>
    <n v="2"/>
    <n v="23.46"/>
    <s v="Cash"/>
    <d v="2021-09-07T00:00:00"/>
    <x v="6"/>
  </r>
  <r>
    <s v="I101038"/>
    <s v="C144914"/>
    <x v="1"/>
    <n v="42"/>
    <x v="4"/>
    <x v="3"/>
    <n v="2"/>
    <n v="2100"/>
    <s v="Debit Card"/>
    <d v="2021-07-02T00:00:00"/>
    <x v="8"/>
  </r>
  <r>
    <s v="I101043"/>
    <s v="C289681"/>
    <x v="1"/>
    <n v="32"/>
    <x v="2"/>
    <x v="0"/>
    <n v="1"/>
    <n v="300.08"/>
    <s v="Credit Card"/>
    <d v="2022-12-01T00:00:00"/>
    <x v="8"/>
  </r>
  <r>
    <s v="I101048"/>
    <s v="C186345"/>
    <x v="0"/>
    <n v="19"/>
    <x v="3"/>
    <x v="0"/>
    <n v="2"/>
    <n v="600.16"/>
    <s v="Cash"/>
    <d v="2022-09-06T00:00:00"/>
    <x v="3"/>
  </r>
  <r>
    <s v="I101051"/>
    <s v="C722098"/>
    <x v="0"/>
    <n v="59"/>
    <x v="1"/>
    <x v="5"/>
    <n v="3"/>
    <n v="1800.51"/>
    <s v="Credit Card"/>
    <d v="2021-06-13T00:00:00"/>
    <x v="2"/>
  </r>
  <r>
    <s v="I101052"/>
    <s v="C844541"/>
    <x v="0"/>
    <n v="66"/>
    <x v="0"/>
    <x v="3"/>
    <n v="3"/>
    <n v="3150"/>
    <s v="Debit Card"/>
    <d v="2022-06-25T00:00:00"/>
    <x v="5"/>
  </r>
  <r>
    <s v="I101059"/>
    <s v="C236719"/>
    <x v="1"/>
    <n v="44"/>
    <x v="4"/>
    <x v="0"/>
    <n v="5"/>
    <n v="1500.4"/>
    <s v="Cash"/>
    <d v="2021-08-25T00:00:00"/>
    <x v="2"/>
  </r>
  <r>
    <s v="I101060"/>
    <s v="C131806"/>
    <x v="1"/>
    <n v="54"/>
    <x v="1"/>
    <x v="0"/>
    <n v="2"/>
    <n v="600.16"/>
    <s v="Credit Card"/>
    <d v="2021-11-16T00:00:00"/>
    <x v="3"/>
  </r>
  <r>
    <s v="I101070"/>
    <s v="C330130"/>
    <x v="1"/>
    <n v="18"/>
    <x v="3"/>
    <x v="3"/>
    <n v="1"/>
    <n v="1050"/>
    <s v="Credit Card"/>
    <d v="2022-04-21T00:00:00"/>
    <x v="5"/>
  </r>
  <r>
    <s v="I101083"/>
    <s v="C165321"/>
    <x v="1"/>
    <n v="57"/>
    <x v="1"/>
    <x v="0"/>
    <n v="3"/>
    <n v="900.24"/>
    <s v="Debit Card"/>
    <d v="2021-02-04T00:00:00"/>
    <x v="5"/>
  </r>
  <r>
    <s v="I101084"/>
    <s v="C943266"/>
    <x v="1"/>
    <n v="26"/>
    <x v="2"/>
    <x v="4"/>
    <n v="1"/>
    <n v="5.23"/>
    <s v="Cash"/>
    <d v="2022-10-18T00:00:00"/>
    <x v="5"/>
  </r>
  <r>
    <s v="I101086"/>
    <s v="C168165"/>
    <x v="1"/>
    <n v="45"/>
    <x v="4"/>
    <x v="5"/>
    <n v="4"/>
    <n v="2400.6799999999998"/>
    <s v="Debit Card"/>
    <d v="2022-02-12T00:00:00"/>
    <x v="5"/>
  </r>
  <r>
    <s v="I101088"/>
    <s v="C824542"/>
    <x v="1"/>
    <n v="28"/>
    <x v="2"/>
    <x v="7"/>
    <n v="5"/>
    <n v="179.2"/>
    <s v="Debit Card"/>
    <d v="2021-01-01T00:00:00"/>
    <x v="5"/>
  </r>
  <r>
    <s v="I101089"/>
    <s v="C392188"/>
    <x v="0"/>
    <n v="39"/>
    <x v="4"/>
    <x v="0"/>
    <n v="5"/>
    <n v="1500.4"/>
    <s v="Credit Card"/>
    <d v="2021-05-06T00:00:00"/>
    <x v="2"/>
  </r>
  <r>
    <s v="I101093"/>
    <s v="C301696"/>
    <x v="1"/>
    <n v="43"/>
    <x v="4"/>
    <x v="0"/>
    <n v="4"/>
    <n v="1200.32"/>
    <s v="Cash"/>
    <d v="2021-07-05T00:00:00"/>
    <x v="2"/>
  </r>
  <r>
    <s v="I101103"/>
    <s v="C194266"/>
    <x v="1"/>
    <n v="45"/>
    <x v="4"/>
    <x v="5"/>
    <n v="4"/>
    <n v="2400.6799999999998"/>
    <s v="Cash"/>
    <d v="2021-10-06T00:00:00"/>
    <x v="6"/>
  </r>
  <r>
    <s v="I101113"/>
    <s v="C315161"/>
    <x v="1"/>
    <n v="64"/>
    <x v="0"/>
    <x v="5"/>
    <n v="3"/>
    <n v="1800.51"/>
    <s v="Cash"/>
    <d v="2021-04-12T00:00:00"/>
    <x v="6"/>
  </r>
  <r>
    <s v="I101115"/>
    <s v="C540954"/>
    <x v="1"/>
    <n v="30"/>
    <x v="2"/>
    <x v="1"/>
    <n v="4"/>
    <n v="162.63999999999999"/>
    <s v="Credit Card"/>
    <d v="2021-08-01T00:00:00"/>
    <x v="3"/>
  </r>
  <r>
    <s v="I101130"/>
    <s v="C298295"/>
    <x v="0"/>
    <n v="45"/>
    <x v="4"/>
    <x v="4"/>
    <n v="3"/>
    <n v="15.69"/>
    <s v="Cash"/>
    <d v="2022-09-10T00:00:00"/>
    <x v="5"/>
  </r>
  <r>
    <s v="I101131"/>
    <s v="C329519"/>
    <x v="1"/>
    <n v="22"/>
    <x v="3"/>
    <x v="1"/>
    <n v="5"/>
    <n v="203.3"/>
    <s v="Credit Card"/>
    <d v="2022-08-22T00:00:00"/>
    <x v="7"/>
  </r>
  <r>
    <s v="I101133"/>
    <s v="C270664"/>
    <x v="1"/>
    <n v="63"/>
    <x v="0"/>
    <x v="0"/>
    <n v="2"/>
    <n v="600.16"/>
    <s v="Cash"/>
    <d v="2022-01-22T00:00:00"/>
    <x v="5"/>
  </r>
  <r>
    <s v="I101135"/>
    <s v="C689947"/>
    <x v="0"/>
    <n v="48"/>
    <x v="1"/>
    <x v="0"/>
    <n v="5"/>
    <n v="1500.4"/>
    <s v="Credit Card"/>
    <d v="2021-01-13T00:00:00"/>
    <x v="5"/>
  </r>
  <r>
    <s v="I101140"/>
    <s v="C122069"/>
    <x v="1"/>
    <n v="20"/>
    <x v="3"/>
    <x v="0"/>
    <n v="5"/>
    <n v="1500.4"/>
    <s v="Credit Card"/>
    <d v="2022-07-26T00:00:00"/>
    <x v="6"/>
  </r>
  <r>
    <s v="I101143"/>
    <s v="C293655"/>
    <x v="0"/>
    <n v="46"/>
    <x v="1"/>
    <x v="6"/>
    <n v="5"/>
    <n v="58.65"/>
    <s v="Debit Card"/>
    <d v="2022-02-25T00:00:00"/>
    <x v="2"/>
  </r>
  <r>
    <s v="I101146"/>
    <s v="C303865"/>
    <x v="0"/>
    <n v="26"/>
    <x v="2"/>
    <x v="4"/>
    <n v="2"/>
    <n v="10.46"/>
    <s v="Credit Card"/>
    <d v="2022-12-25T00:00:00"/>
    <x v="1"/>
  </r>
  <r>
    <s v="I101148"/>
    <s v="C680169"/>
    <x v="1"/>
    <n v="26"/>
    <x v="2"/>
    <x v="1"/>
    <n v="4"/>
    <n v="162.63999999999999"/>
    <s v="Cash"/>
    <d v="2022-04-21T00:00:00"/>
    <x v="8"/>
  </r>
  <r>
    <s v="I101152"/>
    <s v="C276049"/>
    <x v="0"/>
    <n v="30"/>
    <x v="2"/>
    <x v="0"/>
    <n v="3"/>
    <n v="900.24"/>
    <s v="Cash"/>
    <d v="2021-11-12T00:00:00"/>
    <x v="5"/>
  </r>
  <r>
    <s v="I101154"/>
    <s v="C453116"/>
    <x v="0"/>
    <n v="61"/>
    <x v="0"/>
    <x v="0"/>
    <n v="4"/>
    <n v="1200.32"/>
    <s v="Credit Card"/>
    <d v="2021-07-05T00:00:00"/>
    <x v="3"/>
  </r>
  <r>
    <s v="I101155"/>
    <s v="C114131"/>
    <x v="1"/>
    <n v="58"/>
    <x v="1"/>
    <x v="0"/>
    <n v="5"/>
    <n v="1500.4"/>
    <s v="Cash"/>
    <d v="2022-06-08T00:00:00"/>
    <x v="7"/>
  </r>
  <r>
    <s v="I101156"/>
    <s v="C251408"/>
    <x v="1"/>
    <n v="63"/>
    <x v="0"/>
    <x v="0"/>
    <n v="2"/>
    <n v="600.16"/>
    <s v="Cash"/>
    <d v="2021-12-07T00:00:00"/>
    <x v="4"/>
  </r>
  <r>
    <s v="I101165"/>
    <s v="C325003"/>
    <x v="1"/>
    <n v="34"/>
    <x v="2"/>
    <x v="0"/>
    <n v="1"/>
    <n v="300.08"/>
    <s v="Debit Card"/>
    <d v="2022-08-21T00:00:00"/>
    <x v="5"/>
  </r>
  <r>
    <s v="I101167"/>
    <s v="C492992"/>
    <x v="1"/>
    <n v="39"/>
    <x v="4"/>
    <x v="4"/>
    <n v="5"/>
    <n v="26.15"/>
    <s v="Credit Card"/>
    <d v="2022-01-31T00:00:00"/>
    <x v="9"/>
  </r>
  <r>
    <s v="I101171"/>
    <s v="C786797"/>
    <x v="1"/>
    <n v="64"/>
    <x v="0"/>
    <x v="0"/>
    <n v="3"/>
    <n v="900.24"/>
    <s v="Cash"/>
    <d v="2021-09-23T00:00:00"/>
    <x v="2"/>
  </r>
  <r>
    <s v="I101176"/>
    <s v="C195529"/>
    <x v="1"/>
    <n v="31"/>
    <x v="2"/>
    <x v="4"/>
    <n v="1"/>
    <n v="5.23"/>
    <s v="Cash"/>
    <d v="2021-06-17T00:00:00"/>
    <x v="9"/>
  </r>
  <r>
    <s v="I101181"/>
    <s v="C167199"/>
    <x v="0"/>
    <n v="25"/>
    <x v="3"/>
    <x v="4"/>
    <n v="1"/>
    <n v="5.23"/>
    <s v="Cash"/>
    <d v="2022-12-22T00:00:00"/>
    <x v="9"/>
  </r>
  <r>
    <s v="I101183"/>
    <s v="C274709"/>
    <x v="1"/>
    <n v="41"/>
    <x v="4"/>
    <x v="1"/>
    <n v="1"/>
    <n v="40.659999999999997"/>
    <s v="Debit Card"/>
    <d v="2022-03-10T00:00:00"/>
    <x v="7"/>
  </r>
  <r>
    <s v="I101185"/>
    <s v="C269338"/>
    <x v="1"/>
    <n v="60"/>
    <x v="1"/>
    <x v="1"/>
    <n v="3"/>
    <n v="121.98"/>
    <s v="Credit Card"/>
    <d v="2022-05-20T00:00:00"/>
    <x v="9"/>
  </r>
  <r>
    <s v="I101189"/>
    <s v="C301407"/>
    <x v="0"/>
    <n v="68"/>
    <x v="0"/>
    <x v="6"/>
    <n v="2"/>
    <n v="23.46"/>
    <s v="Cash"/>
    <d v="2022-05-11T00:00:00"/>
    <x v="3"/>
  </r>
  <r>
    <s v="I101190"/>
    <s v="C115198"/>
    <x v="1"/>
    <n v="66"/>
    <x v="0"/>
    <x v="4"/>
    <n v="1"/>
    <n v="5.23"/>
    <s v="Credit Card"/>
    <d v="2021-04-02T00:00:00"/>
    <x v="9"/>
  </r>
  <r>
    <s v="I101192"/>
    <s v="C298571"/>
    <x v="0"/>
    <n v="66"/>
    <x v="0"/>
    <x v="7"/>
    <n v="5"/>
    <n v="179.2"/>
    <s v="Cash"/>
    <d v="2021-11-15T00:00:00"/>
    <x v="6"/>
  </r>
  <r>
    <s v="I101193"/>
    <s v="C298074"/>
    <x v="1"/>
    <n v="69"/>
    <x v="0"/>
    <x v="4"/>
    <n v="5"/>
    <n v="26.15"/>
    <s v="Credit Card"/>
    <d v="2021-05-04T00:00:00"/>
    <x v="1"/>
  </r>
  <r>
    <s v="I101201"/>
    <s v="C296680"/>
    <x v="0"/>
    <n v="51"/>
    <x v="1"/>
    <x v="1"/>
    <n v="2"/>
    <n v="81.319999999999993"/>
    <s v="Credit Card"/>
    <d v="2022-06-20T00:00:00"/>
    <x v="6"/>
  </r>
  <r>
    <s v="I101204"/>
    <s v="C147656"/>
    <x v="1"/>
    <n v="42"/>
    <x v="4"/>
    <x v="2"/>
    <n v="4"/>
    <n v="60.6"/>
    <s v="Cash"/>
    <d v="2022-08-06T00:00:00"/>
    <x v="2"/>
  </r>
  <r>
    <s v="I101210"/>
    <s v="C316485"/>
    <x v="1"/>
    <n v="20"/>
    <x v="3"/>
    <x v="0"/>
    <n v="5"/>
    <n v="1500.4"/>
    <s v="Credit Card"/>
    <d v="2022-07-04T00:00:00"/>
    <x v="4"/>
  </r>
  <r>
    <s v="I101214"/>
    <s v="C229296"/>
    <x v="1"/>
    <n v="40"/>
    <x v="4"/>
    <x v="0"/>
    <n v="2"/>
    <n v="600.16"/>
    <s v="Credit Card"/>
    <d v="2021-03-11T00:00:00"/>
    <x v="1"/>
  </r>
  <r>
    <s v="I101219"/>
    <s v="C296170"/>
    <x v="1"/>
    <n v="52"/>
    <x v="1"/>
    <x v="2"/>
    <n v="1"/>
    <n v="15.15"/>
    <s v="Credit Card"/>
    <d v="2022-04-30T00:00:00"/>
    <x v="5"/>
  </r>
  <r>
    <s v="I101220"/>
    <s v="C322664"/>
    <x v="0"/>
    <n v="67"/>
    <x v="0"/>
    <x v="6"/>
    <n v="4"/>
    <n v="46.92"/>
    <s v="Cash"/>
    <d v="2022-10-06T00:00:00"/>
    <x v="7"/>
  </r>
  <r>
    <s v="I101229"/>
    <s v="C256902"/>
    <x v="1"/>
    <n v="19"/>
    <x v="3"/>
    <x v="4"/>
    <n v="3"/>
    <n v="15.69"/>
    <s v="Cash"/>
    <d v="2022-07-05T00:00:00"/>
    <x v="5"/>
  </r>
  <r>
    <s v="I101237"/>
    <s v="C239679"/>
    <x v="1"/>
    <n v="65"/>
    <x v="0"/>
    <x v="0"/>
    <n v="3"/>
    <n v="900.24"/>
    <s v="Credit Card"/>
    <d v="2021-02-10T00:00:00"/>
    <x v="2"/>
  </r>
  <r>
    <s v="I101239"/>
    <s v="C362001"/>
    <x v="1"/>
    <n v="25"/>
    <x v="3"/>
    <x v="3"/>
    <n v="2"/>
    <n v="2100"/>
    <s v="Credit Card"/>
    <d v="2021-03-14T00:00:00"/>
    <x v="3"/>
  </r>
  <r>
    <s v="I101247"/>
    <s v="C178321"/>
    <x v="0"/>
    <n v="35"/>
    <x v="2"/>
    <x v="0"/>
    <n v="3"/>
    <n v="900.24"/>
    <s v="Credit Card"/>
    <d v="2021-02-25T00:00:00"/>
    <x v="2"/>
  </r>
  <r>
    <s v="I101252"/>
    <s v="C998123"/>
    <x v="1"/>
    <n v="23"/>
    <x v="3"/>
    <x v="7"/>
    <n v="2"/>
    <n v="71.680000000000007"/>
    <s v="Credit Card"/>
    <d v="2021-01-21T00:00:00"/>
    <x v="6"/>
  </r>
  <r>
    <s v="I101255"/>
    <s v="C164171"/>
    <x v="1"/>
    <n v="66"/>
    <x v="0"/>
    <x v="4"/>
    <n v="2"/>
    <n v="10.46"/>
    <s v="Cash"/>
    <d v="2021-12-11T00:00:00"/>
    <x v="8"/>
  </r>
  <r>
    <s v="I101256"/>
    <s v="C129775"/>
    <x v="0"/>
    <n v="50"/>
    <x v="1"/>
    <x v="0"/>
    <n v="2"/>
    <n v="600.16"/>
    <s v="Credit Card"/>
    <d v="2022-06-26T00:00:00"/>
    <x v="2"/>
  </r>
  <r>
    <s v="I101263"/>
    <s v="C268120"/>
    <x v="0"/>
    <n v="69"/>
    <x v="0"/>
    <x v="4"/>
    <n v="4"/>
    <n v="20.92"/>
    <s v="Credit Card"/>
    <d v="2022-12-12T00:00:00"/>
    <x v="2"/>
  </r>
  <r>
    <s v="I101279"/>
    <s v="C237894"/>
    <x v="1"/>
    <n v="48"/>
    <x v="1"/>
    <x v="3"/>
    <n v="3"/>
    <n v="3150"/>
    <s v="Cash"/>
    <d v="2022-06-22T00:00:00"/>
    <x v="7"/>
  </r>
  <r>
    <s v="I101280"/>
    <s v="C663744"/>
    <x v="1"/>
    <n v="39"/>
    <x v="4"/>
    <x v="0"/>
    <n v="2"/>
    <n v="600.16"/>
    <s v="Credit Card"/>
    <d v="2022-03-26T00:00:00"/>
    <x v="2"/>
  </r>
  <r>
    <s v="I101281"/>
    <s v="C177781"/>
    <x v="0"/>
    <n v="50"/>
    <x v="1"/>
    <x v="0"/>
    <n v="4"/>
    <n v="1200.32"/>
    <s v="Debit Card"/>
    <d v="2022-03-02T00:00:00"/>
    <x v="0"/>
  </r>
  <r>
    <s v="I101282"/>
    <s v="C317379"/>
    <x v="1"/>
    <n v="50"/>
    <x v="1"/>
    <x v="0"/>
    <n v="3"/>
    <n v="900.24"/>
    <s v="Cash"/>
    <d v="2022-06-30T00:00:00"/>
    <x v="1"/>
  </r>
  <r>
    <s v="I101283"/>
    <s v="C294350"/>
    <x v="1"/>
    <n v="48"/>
    <x v="1"/>
    <x v="4"/>
    <n v="1"/>
    <n v="5.23"/>
    <s v="Credit Card"/>
    <d v="2022-06-19T00:00:00"/>
    <x v="3"/>
  </r>
  <r>
    <s v="I101288"/>
    <s v="C476777"/>
    <x v="0"/>
    <n v="36"/>
    <x v="4"/>
    <x v="4"/>
    <n v="1"/>
    <n v="5.23"/>
    <s v="Cash"/>
    <d v="2022-07-24T00:00:00"/>
    <x v="5"/>
  </r>
  <r>
    <s v="I101290"/>
    <s v="C208569"/>
    <x v="1"/>
    <n v="31"/>
    <x v="2"/>
    <x v="6"/>
    <n v="4"/>
    <n v="46.92"/>
    <s v="Credit Card"/>
    <d v="2023-02-13T00:00:00"/>
    <x v="2"/>
  </r>
  <r>
    <s v="I101296"/>
    <s v="C132787"/>
    <x v="1"/>
    <n v="41"/>
    <x v="4"/>
    <x v="1"/>
    <n v="2"/>
    <n v="81.319999999999993"/>
    <s v="Debit Card"/>
    <d v="2023-01-14T00:00:00"/>
    <x v="9"/>
  </r>
  <r>
    <s v="I101301"/>
    <s v="C211329"/>
    <x v="0"/>
    <n v="39"/>
    <x v="4"/>
    <x v="4"/>
    <n v="5"/>
    <n v="26.15"/>
    <s v="Credit Card"/>
    <d v="2022-12-12T00:00:00"/>
    <x v="5"/>
  </r>
  <r>
    <s v="I101305"/>
    <s v="C131548"/>
    <x v="1"/>
    <n v="66"/>
    <x v="0"/>
    <x v="7"/>
    <n v="3"/>
    <n v="107.52"/>
    <s v="Cash"/>
    <d v="2022-03-07T00:00:00"/>
    <x v="6"/>
  </r>
  <r>
    <s v="I101306"/>
    <s v="C162468"/>
    <x v="1"/>
    <n v="42"/>
    <x v="4"/>
    <x v="0"/>
    <n v="3"/>
    <n v="900.24"/>
    <s v="Debit Card"/>
    <d v="2022-05-21T00:00:00"/>
    <x v="5"/>
  </r>
  <r>
    <s v="I101308"/>
    <s v="C551127"/>
    <x v="0"/>
    <n v="18"/>
    <x v="3"/>
    <x v="5"/>
    <n v="2"/>
    <n v="1200.3399999999999"/>
    <s v="Credit Card"/>
    <d v="2021-03-12T00:00:00"/>
    <x v="2"/>
  </r>
  <r>
    <s v="I101312"/>
    <s v="C261678"/>
    <x v="0"/>
    <n v="50"/>
    <x v="1"/>
    <x v="0"/>
    <n v="5"/>
    <n v="1500.4"/>
    <s v="Cash"/>
    <d v="2021-09-29T00:00:00"/>
    <x v="2"/>
  </r>
  <r>
    <s v="I101313"/>
    <s v="C463777"/>
    <x v="1"/>
    <n v="62"/>
    <x v="0"/>
    <x v="6"/>
    <n v="1"/>
    <n v="11.73"/>
    <s v="Credit Card"/>
    <d v="2021-02-09T00:00:00"/>
    <x v="5"/>
  </r>
  <r>
    <s v="I101314"/>
    <s v="C995203"/>
    <x v="0"/>
    <n v="20"/>
    <x v="3"/>
    <x v="4"/>
    <n v="3"/>
    <n v="15.69"/>
    <s v="Cash"/>
    <d v="2022-05-01T00:00:00"/>
    <x v="5"/>
  </r>
  <r>
    <s v="I101316"/>
    <s v="C100544"/>
    <x v="1"/>
    <n v="40"/>
    <x v="4"/>
    <x v="1"/>
    <n v="3"/>
    <n v="121.98"/>
    <s v="Debit Card"/>
    <d v="2022-06-24T00:00:00"/>
    <x v="3"/>
  </r>
  <r>
    <s v="I101318"/>
    <s v="C156439"/>
    <x v="1"/>
    <n v="27"/>
    <x v="2"/>
    <x v="0"/>
    <n v="1"/>
    <n v="300.08"/>
    <s v="Debit Card"/>
    <d v="2021-03-06T00:00:00"/>
    <x v="3"/>
  </r>
  <r>
    <s v="I101320"/>
    <s v="C264902"/>
    <x v="0"/>
    <n v="18"/>
    <x v="3"/>
    <x v="2"/>
    <n v="3"/>
    <n v="45.45"/>
    <s v="Cash"/>
    <d v="2022-04-12T00:00:00"/>
    <x v="2"/>
  </r>
  <r>
    <s v="I101325"/>
    <s v="C101956"/>
    <x v="1"/>
    <n v="27"/>
    <x v="2"/>
    <x v="6"/>
    <n v="1"/>
    <n v="11.73"/>
    <s v="Cash"/>
    <d v="2021-02-25T00:00:00"/>
    <x v="2"/>
  </r>
  <r>
    <s v="I101328"/>
    <s v="C468550"/>
    <x v="0"/>
    <n v="52"/>
    <x v="1"/>
    <x v="0"/>
    <n v="2"/>
    <n v="600.16"/>
    <s v="Cash"/>
    <d v="2022-07-24T00:00:00"/>
    <x v="1"/>
  </r>
  <r>
    <s v="I101339"/>
    <s v="C162091"/>
    <x v="1"/>
    <n v="51"/>
    <x v="1"/>
    <x v="0"/>
    <n v="4"/>
    <n v="1200.32"/>
    <s v="Credit Card"/>
    <d v="2021-04-21T00:00:00"/>
    <x v="6"/>
  </r>
  <r>
    <s v="I101343"/>
    <s v="C180911"/>
    <x v="1"/>
    <n v="50"/>
    <x v="1"/>
    <x v="7"/>
    <n v="4"/>
    <n v="143.36000000000001"/>
    <s v="Debit Card"/>
    <d v="2021-06-02T00:00:00"/>
    <x v="1"/>
  </r>
  <r>
    <s v="I101344"/>
    <s v="C107378"/>
    <x v="0"/>
    <n v="54"/>
    <x v="1"/>
    <x v="5"/>
    <n v="4"/>
    <n v="2400.6799999999998"/>
    <s v="Credit Card"/>
    <d v="2022-09-05T00:00:00"/>
    <x v="5"/>
  </r>
  <r>
    <s v="I101347"/>
    <s v="C280063"/>
    <x v="1"/>
    <n v="58"/>
    <x v="1"/>
    <x v="7"/>
    <n v="2"/>
    <n v="71.680000000000007"/>
    <s v="Credit Card"/>
    <d v="2021-09-26T00:00:00"/>
    <x v="5"/>
  </r>
  <r>
    <s v="I101348"/>
    <s v="C126235"/>
    <x v="1"/>
    <n v="67"/>
    <x v="0"/>
    <x v="0"/>
    <n v="4"/>
    <n v="1200.32"/>
    <s v="Credit Card"/>
    <d v="2022-08-31T00:00:00"/>
    <x v="2"/>
  </r>
  <r>
    <s v="I101351"/>
    <s v="C726291"/>
    <x v="1"/>
    <n v="52"/>
    <x v="1"/>
    <x v="1"/>
    <n v="4"/>
    <n v="162.63999999999999"/>
    <s v="Cash"/>
    <d v="2021-06-10T00:00:00"/>
    <x v="1"/>
  </r>
  <r>
    <s v="I101352"/>
    <s v="C548721"/>
    <x v="1"/>
    <n v="26"/>
    <x v="2"/>
    <x v="1"/>
    <n v="2"/>
    <n v="81.319999999999993"/>
    <s v="Cash"/>
    <d v="2021-01-22T00:00:00"/>
    <x v="7"/>
  </r>
  <r>
    <s v="I101353"/>
    <s v="C246402"/>
    <x v="1"/>
    <n v="24"/>
    <x v="3"/>
    <x v="1"/>
    <n v="2"/>
    <n v="81.319999999999993"/>
    <s v="Debit Card"/>
    <d v="2022-03-25T00:00:00"/>
    <x v="9"/>
  </r>
  <r>
    <s v="I101354"/>
    <s v="C235189"/>
    <x v="1"/>
    <n v="65"/>
    <x v="0"/>
    <x v="1"/>
    <n v="2"/>
    <n v="81.319999999999993"/>
    <s v="Debit Card"/>
    <d v="2022-09-12T00:00:00"/>
    <x v="0"/>
  </r>
  <r>
    <s v="I101356"/>
    <s v="C227436"/>
    <x v="0"/>
    <n v="38"/>
    <x v="4"/>
    <x v="1"/>
    <n v="1"/>
    <n v="40.659999999999997"/>
    <s v="Cash"/>
    <d v="2022-03-23T00:00:00"/>
    <x v="3"/>
  </r>
  <r>
    <s v="I101359"/>
    <s v="C269676"/>
    <x v="0"/>
    <n v="42"/>
    <x v="4"/>
    <x v="5"/>
    <n v="3"/>
    <n v="1800.51"/>
    <s v="Cash"/>
    <d v="2021-12-08T00:00:00"/>
    <x v="7"/>
  </r>
  <r>
    <s v="I101360"/>
    <s v="C540352"/>
    <x v="1"/>
    <n v="39"/>
    <x v="4"/>
    <x v="5"/>
    <n v="5"/>
    <n v="3000.85"/>
    <s v="Credit Card"/>
    <d v="2021-07-11T00:00:00"/>
    <x v="2"/>
  </r>
  <r>
    <s v="I101361"/>
    <s v="C184579"/>
    <x v="0"/>
    <n v="39"/>
    <x v="4"/>
    <x v="0"/>
    <n v="4"/>
    <n v="1200.32"/>
    <s v="Cash"/>
    <d v="2021-05-29T00:00:00"/>
    <x v="9"/>
  </r>
  <r>
    <s v="I101363"/>
    <s v="C182070"/>
    <x v="0"/>
    <n v="18"/>
    <x v="3"/>
    <x v="0"/>
    <n v="2"/>
    <n v="600.16"/>
    <s v="Credit Card"/>
    <d v="2022-11-26T00:00:00"/>
    <x v="3"/>
  </r>
  <r>
    <s v="I101366"/>
    <s v="C927671"/>
    <x v="1"/>
    <n v="47"/>
    <x v="1"/>
    <x v="0"/>
    <n v="2"/>
    <n v="600.16"/>
    <s v="Credit Card"/>
    <d v="2021-10-19T00:00:00"/>
    <x v="5"/>
  </r>
  <r>
    <s v="I101368"/>
    <s v="C236364"/>
    <x v="0"/>
    <n v="60"/>
    <x v="1"/>
    <x v="2"/>
    <n v="4"/>
    <n v="60.6"/>
    <s v="Credit Card"/>
    <d v="2021-02-07T00:00:00"/>
    <x v="9"/>
  </r>
  <r>
    <s v="I101370"/>
    <s v="C313925"/>
    <x v="1"/>
    <n v="59"/>
    <x v="1"/>
    <x v="7"/>
    <n v="5"/>
    <n v="179.2"/>
    <s v="Credit Card"/>
    <d v="2021-10-22T00:00:00"/>
    <x v="5"/>
  </r>
  <r>
    <s v="I101372"/>
    <s v="C180019"/>
    <x v="1"/>
    <n v="22"/>
    <x v="3"/>
    <x v="7"/>
    <n v="5"/>
    <n v="179.2"/>
    <s v="Credit Card"/>
    <d v="2021-06-05T00:00:00"/>
    <x v="6"/>
  </r>
  <r>
    <s v="I101378"/>
    <s v="C241757"/>
    <x v="1"/>
    <n v="47"/>
    <x v="1"/>
    <x v="2"/>
    <n v="3"/>
    <n v="45.45"/>
    <s v="Cash"/>
    <d v="2021-12-30T00:00:00"/>
    <x v="3"/>
  </r>
  <r>
    <s v="I101379"/>
    <s v="C275478"/>
    <x v="1"/>
    <n v="61"/>
    <x v="0"/>
    <x v="0"/>
    <n v="1"/>
    <n v="300.08"/>
    <s v="Cash"/>
    <d v="2023-01-16T00:00:00"/>
    <x v="5"/>
  </r>
  <r>
    <s v="I101383"/>
    <s v="C151482"/>
    <x v="1"/>
    <n v="29"/>
    <x v="2"/>
    <x v="1"/>
    <n v="5"/>
    <n v="203.3"/>
    <s v="Credit Card"/>
    <d v="2022-04-25T00:00:00"/>
    <x v="3"/>
  </r>
  <r>
    <s v="I101390"/>
    <s v="C314514"/>
    <x v="1"/>
    <n v="35"/>
    <x v="2"/>
    <x v="1"/>
    <n v="3"/>
    <n v="121.98"/>
    <s v="Cash"/>
    <d v="2021-09-08T00:00:00"/>
    <x v="2"/>
  </r>
  <r>
    <s v="I101393"/>
    <s v="C109321"/>
    <x v="1"/>
    <n v="55"/>
    <x v="1"/>
    <x v="4"/>
    <n v="3"/>
    <n v="15.69"/>
    <s v="Debit Card"/>
    <d v="2022-07-31T00:00:00"/>
    <x v="5"/>
  </r>
  <r>
    <s v="I101394"/>
    <s v="C321439"/>
    <x v="1"/>
    <n v="24"/>
    <x v="3"/>
    <x v="2"/>
    <n v="1"/>
    <n v="15.15"/>
    <s v="Cash"/>
    <d v="2022-06-07T00:00:00"/>
    <x v="7"/>
  </r>
  <r>
    <s v="I101398"/>
    <s v="C152504"/>
    <x v="1"/>
    <n v="27"/>
    <x v="2"/>
    <x v="1"/>
    <n v="2"/>
    <n v="81.319999999999993"/>
    <s v="Credit Card"/>
    <d v="2022-09-14T00:00:00"/>
    <x v="2"/>
  </r>
  <r>
    <s v="I101407"/>
    <s v="C323409"/>
    <x v="1"/>
    <n v="32"/>
    <x v="2"/>
    <x v="0"/>
    <n v="5"/>
    <n v="1500.4"/>
    <s v="Cash"/>
    <d v="2022-07-16T00:00:00"/>
    <x v="1"/>
  </r>
  <r>
    <s v="I101409"/>
    <s v="C431191"/>
    <x v="1"/>
    <n v="21"/>
    <x v="3"/>
    <x v="0"/>
    <n v="3"/>
    <n v="900.24"/>
    <s v="Debit Card"/>
    <d v="2022-11-10T00:00:00"/>
    <x v="5"/>
  </r>
  <r>
    <s v="I101410"/>
    <s v="C177708"/>
    <x v="1"/>
    <n v="63"/>
    <x v="0"/>
    <x v="0"/>
    <n v="3"/>
    <n v="900.24"/>
    <s v="Cash"/>
    <d v="2022-06-13T00:00:00"/>
    <x v="9"/>
  </r>
  <r>
    <s v="I101414"/>
    <s v="C104129"/>
    <x v="1"/>
    <n v="20"/>
    <x v="3"/>
    <x v="0"/>
    <n v="4"/>
    <n v="1200.32"/>
    <s v="Cash"/>
    <d v="2021-08-12T00:00:00"/>
    <x v="3"/>
  </r>
  <r>
    <s v="I101418"/>
    <s v="C127683"/>
    <x v="1"/>
    <n v="50"/>
    <x v="1"/>
    <x v="0"/>
    <n v="3"/>
    <n v="900.24"/>
    <s v="Credit Card"/>
    <d v="2021-02-27T00:00:00"/>
    <x v="0"/>
  </r>
  <r>
    <s v="I101419"/>
    <s v="C502529"/>
    <x v="0"/>
    <n v="54"/>
    <x v="1"/>
    <x v="7"/>
    <n v="2"/>
    <n v="71.680000000000007"/>
    <s v="Credit Card"/>
    <d v="2021-03-11T00:00:00"/>
    <x v="9"/>
  </r>
  <r>
    <s v="I101423"/>
    <s v="C666388"/>
    <x v="0"/>
    <n v="52"/>
    <x v="1"/>
    <x v="2"/>
    <n v="3"/>
    <n v="45.45"/>
    <s v="Cash"/>
    <d v="2023-02-03T00:00:00"/>
    <x v="1"/>
  </r>
  <r>
    <s v="I101426"/>
    <s v="C262766"/>
    <x v="1"/>
    <n v="67"/>
    <x v="0"/>
    <x v="1"/>
    <n v="3"/>
    <n v="121.98"/>
    <s v="Cash"/>
    <d v="2021-04-29T00:00:00"/>
    <x v="5"/>
  </r>
  <r>
    <s v="I101428"/>
    <s v="C197332"/>
    <x v="1"/>
    <n v="21"/>
    <x v="3"/>
    <x v="0"/>
    <n v="5"/>
    <n v="1500.4"/>
    <s v="Debit Card"/>
    <d v="2021-07-08T00:00:00"/>
    <x v="2"/>
  </r>
  <r>
    <s v="I101429"/>
    <s v="C148693"/>
    <x v="1"/>
    <n v="50"/>
    <x v="1"/>
    <x v="2"/>
    <n v="4"/>
    <n v="60.6"/>
    <s v="Credit Card"/>
    <d v="2021-04-17T00:00:00"/>
    <x v="2"/>
  </r>
  <r>
    <s v="I101433"/>
    <s v="C208860"/>
    <x v="0"/>
    <n v="40"/>
    <x v="4"/>
    <x v="4"/>
    <n v="3"/>
    <n v="15.69"/>
    <s v="Credit Card"/>
    <d v="2022-08-10T00:00:00"/>
    <x v="2"/>
  </r>
  <r>
    <s v="I101434"/>
    <s v="C310631"/>
    <x v="0"/>
    <n v="30"/>
    <x v="2"/>
    <x v="2"/>
    <n v="5"/>
    <n v="75.75"/>
    <s v="Cash"/>
    <d v="2021-11-29T00:00:00"/>
    <x v="2"/>
  </r>
  <r>
    <s v="I101435"/>
    <s v="C245633"/>
    <x v="1"/>
    <n v="29"/>
    <x v="2"/>
    <x v="7"/>
    <n v="2"/>
    <n v="71.680000000000007"/>
    <s v="Credit Card"/>
    <d v="2022-08-04T00:00:00"/>
    <x v="7"/>
  </r>
  <r>
    <s v="I101442"/>
    <s v="C837574"/>
    <x v="1"/>
    <n v="29"/>
    <x v="2"/>
    <x v="1"/>
    <n v="4"/>
    <n v="162.63999999999999"/>
    <s v="Credit Card"/>
    <d v="2021-09-05T00:00:00"/>
    <x v="2"/>
  </r>
  <r>
    <s v="I101444"/>
    <s v="C335486"/>
    <x v="1"/>
    <n v="51"/>
    <x v="1"/>
    <x v="6"/>
    <n v="5"/>
    <n v="58.65"/>
    <s v="Debit Card"/>
    <d v="2021-12-17T00:00:00"/>
    <x v="0"/>
  </r>
  <r>
    <s v="I101445"/>
    <s v="C171342"/>
    <x v="1"/>
    <n v="18"/>
    <x v="3"/>
    <x v="1"/>
    <n v="4"/>
    <n v="162.63999999999999"/>
    <s v="Credit Card"/>
    <d v="2022-05-02T00:00:00"/>
    <x v="5"/>
  </r>
  <r>
    <s v="I101449"/>
    <s v="C220137"/>
    <x v="0"/>
    <n v="33"/>
    <x v="2"/>
    <x v="1"/>
    <n v="4"/>
    <n v="162.63999999999999"/>
    <s v="Credit Card"/>
    <d v="2021-12-05T00:00:00"/>
    <x v="3"/>
  </r>
  <r>
    <s v="I101452"/>
    <s v="C231594"/>
    <x v="0"/>
    <n v="45"/>
    <x v="4"/>
    <x v="0"/>
    <n v="2"/>
    <n v="600.16"/>
    <s v="Credit Card"/>
    <d v="2021-10-15T00:00:00"/>
    <x v="0"/>
  </r>
  <r>
    <s v="I101453"/>
    <s v="C666613"/>
    <x v="1"/>
    <n v="65"/>
    <x v="0"/>
    <x v="1"/>
    <n v="1"/>
    <n v="40.659999999999997"/>
    <s v="Debit Card"/>
    <d v="2021-04-09T00:00:00"/>
    <x v="5"/>
  </r>
  <r>
    <s v="I101454"/>
    <s v="C118691"/>
    <x v="1"/>
    <n v="53"/>
    <x v="1"/>
    <x v="0"/>
    <n v="3"/>
    <n v="900.24"/>
    <s v="Cash"/>
    <d v="2022-04-20T00:00:00"/>
    <x v="9"/>
  </r>
  <r>
    <s v="I101455"/>
    <s v="C154531"/>
    <x v="0"/>
    <n v="69"/>
    <x v="0"/>
    <x v="3"/>
    <n v="3"/>
    <n v="3150"/>
    <s v="Cash"/>
    <d v="2022-02-28T00:00:00"/>
    <x v="5"/>
  </r>
  <r>
    <s v="I101456"/>
    <s v="C283434"/>
    <x v="0"/>
    <n v="36"/>
    <x v="4"/>
    <x v="3"/>
    <n v="4"/>
    <n v="4200"/>
    <s v="Credit Card"/>
    <d v="2022-12-26T00:00:00"/>
    <x v="5"/>
  </r>
  <r>
    <s v="I101458"/>
    <s v="C113888"/>
    <x v="1"/>
    <n v="35"/>
    <x v="2"/>
    <x v="0"/>
    <n v="1"/>
    <n v="300.08"/>
    <s v="Cash"/>
    <d v="2022-07-21T00:00:00"/>
    <x v="3"/>
  </r>
  <r>
    <s v="I101460"/>
    <s v="C247762"/>
    <x v="1"/>
    <n v="45"/>
    <x v="4"/>
    <x v="0"/>
    <n v="5"/>
    <n v="1500.4"/>
    <s v="Cash"/>
    <d v="2022-01-11T00:00:00"/>
    <x v="4"/>
  </r>
  <r>
    <s v="I101465"/>
    <s v="C250819"/>
    <x v="1"/>
    <n v="23"/>
    <x v="3"/>
    <x v="0"/>
    <n v="2"/>
    <n v="600.16"/>
    <s v="Credit Card"/>
    <d v="2021-06-16T00:00:00"/>
    <x v="3"/>
  </r>
  <r>
    <s v="I101466"/>
    <s v="C314331"/>
    <x v="1"/>
    <n v="36"/>
    <x v="4"/>
    <x v="0"/>
    <n v="2"/>
    <n v="600.16"/>
    <s v="Cash"/>
    <d v="2022-09-29T00:00:00"/>
    <x v="0"/>
  </r>
  <r>
    <s v="I101467"/>
    <s v="C155383"/>
    <x v="1"/>
    <n v="54"/>
    <x v="1"/>
    <x v="7"/>
    <n v="4"/>
    <n v="143.36000000000001"/>
    <s v="Cash"/>
    <d v="2022-07-04T00:00:00"/>
    <x v="7"/>
  </r>
  <r>
    <s v="I101472"/>
    <s v="C216194"/>
    <x v="1"/>
    <n v="45"/>
    <x v="4"/>
    <x v="0"/>
    <n v="4"/>
    <n v="1200.32"/>
    <s v="Cash"/>
    <d v="2021-07-06T00:00:00"/>
    <x v="3"/>
  </r>
  <r>
    <s v="I101475"/>
    <s v="C204569"/>
    <x v="1"/>
    <n v="54"/>
    <x v="1"/>
    <x v="6"/>
    <n v="3"/>
    <n v="35.19"/>
    <s v="Credit Card"/>
    <d v="2021-08-04T00:00:00"/>
    <x v="5"/>
  </r>
  <r>
    <s v="I101476"/>
    <s v="C295108"/>
    <x v="1"/>
    <n v="59"/>
    <x v="1"/>
    <x v="7"/>
    <n v="2"/>
    <n v="71.680000000000007"/>
    <s v="Cash"/>
    <d v="2022-05-06T00:00:00"/>
    <x v="9"/>
  </r>
  <r>
    <s v="I101480"/>
    <s v="C145217"/>
    <x v="1"/>
    <n v="29"/>
    <x v="2"/>
    <x v="2"/>
    <n v="1"/>
    <n v="15.15"/>
    <s v="Credit Card"/>
    <d v="2023-01-15T00:00:00"/>
    <x v="3"/>
  </r>
  <r>
    <s v="I101483"/>
    <s v="C670088"/>
    <x v="1"/>
    <n v="54"/>
    <x v="1"/>
    <x v="2"/>
    <n v="2"/>
    <n v="30.3"/>
    <s v="Cash"/>
    <d v="2022-01-14T00:00:00"/>
    <x v="1"/>
  </r>
  <r>
    <s v="I101489"/>
    <s v="C287411"/>
    <x v="0"/>
    <n v="56"/>
    <x v="1"/>
    <x v="7"/>
    <n v="1"/>
    <n v="35.840000000000003"/>
    <s v="Credit Card"/>
    <d v="2022-03-14T00:00:00"/>
    <x v="4"/>
  </r>
  <r>
    <s v="I101498"/>
    <s v="C431849"/>
    <x v="1"/>
    <n v="52"/>
    <x v="1"/>
    <x v="0"/>
    <n v="2"/>
    <n v="600.16"/>
    <s v="Debit Card"/>
    <d v="2021-08-30T00:00:00"/>
    <x v="2"/>
  </r>
  <r>
    <s v="I101499"/>
    <s v="C208394"/>
    <x v="0"/>
    <n v="52"/>
    <x v="1"/>
    <x v="0"/>
    <n v="4"/>
    <n v="1200.32"/>
    <s v="Cash"/>
    <d v="2022-06-16T00:00:00"/>
    <x v="5"/>
  </r>
  <r>
    <s v="I101509"/>
    <s v="C416542"/>
    <x v="1"/>
    <n v="48"/>
    <x v="1"/>
    <x v="4"/>
    <n v="2"/>
    <n v="10.46"/>
    <s v="Cash"/>
    <d v="2022-04-23T00:00:00"/>
    <x v="9"/>
  </r>
  <r>
    <s v="I101511"/>
    <s v="C286261"/>
    <x v="0"/>
    <n v="58"/>
    <x v="1"/>
    <x v="4"/>
    <n v="4"/>
    <n v="20.92"/>
    <s v="Credit Card"/>
    <d v="2021-10-06T00:00:00"/>
    <x v="5"/>
  </r>
  <r>
    <s v="I101512"/>
    <s v="C657278"/>
    <x v="1"/>
    <n v="43"/>
    <x v="4"/>
    <x v="0"/>
    <n v="4"/>
    <n v="1200.32"/>
    <s v="Cash"/>
    <d v="2021-07-30T00:00:00"/>
    <x v="5"/>
  </r>
  <r>
    <s v="I101518"/>
    <s v="C107937"/>
    <x v="1"/>
    <n v="37"/>
    <x v="4"/>
    <x v="7"/>
    <n v="4"/>
    <n v="143.36000000000001"/>
    <s v="Cash"/>
    <d v="2022-04-09T00:00:00"/>
    <x v="2"/>
  </r>
  <r>
    <s v="I101520"/>
    <s v="C260507"/>
    <x v="1"/>
    <n v="32"/>
    <x v="2"/>
    <x v="0"/>
    <n v="1"/>
    <n v="300.08"/>
    <s v="Debit Card"/>
    <d v="2021-03-12T00:00:00"/>
    <x v="5"/>
  </r>
  <r>
    <s v="I101521"/>
    <s v="C234258"/>
    <x v="0"/>
    <n v="54"/>
    <x v="1"/>
    <x v="0"/>
    <n v="5"/>
    <n v="1500.4"/>
    <s v="Debit Card"/>
    <d v="2022-03-28T00:00:00"/>
    <x v="6"/>
  </r>
  <r>
    <s v="I101525"/>
    <s v="C616099"/>
    <x v="1"/>
    <n v="69"/>
    <x v="0"/>
    <x v="0"/>
    <n v="3"/>
    <n v="900.24"/>
    <s v="Cash"/>
    <d v="2021-10-22T00:00:00"/>
    <x v="4"/>
  </r>
  <r>
    <s v="I101526"/>
    <s v="C332894"/>
    <x v="1"/>
    <n v="24"/>
    <x v="3"/>
    <x v="0"/>
    <n v="5"/>
    <n v="1500.4"/>
    <s v="Cash"/>
    <d v="2022-08-18T00:00:00"/>
    <x v="6"/>
  </r>
  <r>
    <s v="I101528"/>
    <s v="C149902"/>
    <x v="1"/>
    <n v="60"/>
    <x v="1"/>
    <x v="3"/>
    <n v="5"/>
    <n v="5250"/>
    <s v="Cash"/>
    <d v="2022-05-19T00:00:00"/>
    <x v="4"/>
  </r>
  <r>
    <s v="I101529"/>
    <s v="C203227"/>
    <x v="1"/>
    <n v="20"/>
    <x v="3"/>
    <x v="7"/>
    <n v="5"/>
    <n v="179.2"/>
    <s v="Debit Card"/>
    <d v="2021-01-17T00:00:00"/>
    <x v="3"/>
  </r>
  <r>
    <s v="I101532"/>
    <s v="C128002"/>
    <x v="0"/>
    <n v="56"/>
    <x v="1"/>
    <x v="7"/>
    <n v="3"/>
    <n v="107.52"/>
    <s v="Cash"/>
    <d v="2022-07-01T00:00:00"/>
    <x v="8"/>
  </r>
  <r>
    <s v="I101535"/>
    <s v="C219503"/>
    <x v="1"/>
    <n v="39"/>
    <x v="4"/>
    <x v="1"/>
    <n v="4"/>
    <n v="162.63999999999999"/>
    <s v="Credit Card"/>
    <d v="2023-03-01T00:00:00"/>
    <x v="9"/>
  </r>
  <r>
    <s v="I101536"/>
    <s v="C323102"/>
    <x v="1"/>
    <n v="66"/>
    <x v="0"/>
    <x v="7"/>
    <n v="2"/>
    <n v="71.680000000000007"/>
    <s v="Credit Card"/>
    <d v="2022-12-07T00:00:00"/>
    <x v="0"/>
  </r>
  <r>
    <s v="I101537"/>
    <s v="C168070"/>
    <x v="1"/>
    <n v="26"/>
    <x v="2"/>
    <x v="6"/>
    <n v="1"/>
    <n v="11.73"/>
    <s v="Credit Card"/>
    <d v="2021-11-06T00:00:00"/>
    <x v="8"/>
  </r>
  <r>
    <s v="I101541"/>
    <s v="C210572"/>
    <x v="1"/>
    <n v="58"/>
    <x v="1"/>
    <x v="0"/>
    <n v="3"/>
    <n v="900.24"/>
    <s v="Debit Card"/>
    <d v="2021-12-13T00:00:00"/>
    <x v="9"/>
  </r>
  <r>
    <s v="I101544"/>
    <s v="C208879"/>
    <x v="1"/>
    <n v="48"/>
    <x v="1"/>
    <x v="1"/>
    <n v="2"/>
    <n v="81.319999999999993"/>
    <s v="Credit Card"/>
    <d v="2021-02-13T00:00:00"/>
    <x v="3"/>
  </r>
  <r>
    <s v="I101546"/>
    <s v="C121708"/>
    <x v="1"/>
    <n v="45"/>
    <x v="4"/>
    <x v="5"/>
    <n v="2"/>
    <n v="1200.3399999999999"/>
    <s v="Credit Card"/>
    <d v="2023-02-18T00:00:00"/>
    <x v="3"/>
  </r>
  <r>
    <s v="I101549"/>
    <s v="C311614"/>
    <x v="1"/>
    <n v="45"/>
    <x v="4"/>
    <x v="7"/>
    <n v="3"/>
    <n v="107.52"/>
    <s v="Debit Card"/>
    <d v="2021-07-20T00:00:00"/>
    <x v="4"/>
  </r>
  <r>
    <s v="I101551"/>
    <s v="C164448"/>
    <x v="1"/>
    <n v="45"/>
    <x v="4"/>
    <x v="0"/>
    <n v="2"/>
    <n v="600.16"/>
    <s v="Debit Card"/>
    <d v="2021-12-27T00:00:00"/>
    <x v="3"/>
  </r>
  <r>
    <s v="I101554"/>
    <s v="C273482"/>
    <x v="1"/>
    <n v="41"/>
    <x v="4"/>
    <x v="0"/>
    <n v="2"/>
    <n v="600.16"/>
    <s v="Cash"/>
    <d v="2021-08-01T00:00:00"/>
    <x v="0"/>
  </r>
  <r>
    <s v="I101555"/>
    <s v="C758873"/>
    <x v="1"/>
    <n v="25"/>
    <x v="3"/>
    <x v="1"/>
    <n v="5"/>
    <n v="203.3"/>
    <s v="Debit Card"/>
    <d v="2022-06-05T00:00:00"/>
    <x v="5"/>
  </r>
  <r>
    <s v="I101569"/>
    <s v="C148240"/>
    <x v="0"/>
    <n v="21"/>
    <x v="3"/>
    <x v="7"/>
    <n v="2"/>
    <n v="71.680000000000007"/>
    <s v="Credit Card"/>
    <d v="2022-07-14T00:00:00"/>
    <x v="0"/>
  </r>
  <r>
    <s v="I101572"/>
    <s v="C210353"/>
    <x v="1"/>
    <n v="50"/>
    <x v="1"/>
    <x v="0"/>
    <n v="4"/>
    <n v="1200.32"/>
    <s v="Cash"/>
    <d v="2022-11-06T00:00:00"/>
    <x v="7"/>
  </r>
  <r>
    <s v="I101573"/>
    <s v="C150669"/>
    <x v="1"/>
    <n v="57"/>
    <x v="1"/>
    <x v="1"/>
    <n v="4"/>
    <n v="162.63999999999999"/>
    <s v="Cash"/>
    <d v="2022-07-28T00:00:00"/>
    <x v="8"/>
  </r>
  <r>
    <s v="I101574"/>
    <s v="C178897"/>
    <x v="1"/>
    <n v="32"/>
    <x v="2"/>
    <x v="4"/>
    <n v="2"/>
    <n v="10.46"/>
    <s v="Credit Card"/>
    <d v="2023-02-02T00:00:00"/>
    <x v="5"/>
  </r>
  <r>
    <s v="I101576"/>
    <s v="C262719"/>
    <x v="0"/>
    <n v="58"/>
    <x v="1"/>
    <x v="0"/>
    <n v="1"/>
    <n v="300.08"/>
    <s v="Debit Card"/>
    <d v="2021-08-12T00:00:00"/>
    <x v="5"/>
  </r>
  <r>
    <s v="I101578"/>
    <s v="C302346"/>
    <x v="1"/>
    <n v="61"/>
    <x v="0"/>
    <x v="2"/>
    <n v="3"/>
    <n v="45.45"/>
    <s v="Cash"/>
    <d v="2023-03-04T00:00:00"/>
    <x v="3"/>
  </r>
  <r>
    <s v="I101580"/>
    <s v="C266174"/>
    <x v="0"/>
    <n v="47"/>
    <x v="1"/>
    <x v="0"/>
    <n v="4"/>
    <n v="1200.32"/>
    <s v="Debit Card"/>
    <d v="2021-04-03T00:00:00"/>
    <x v="5"/>
  </r>
  <r>
    <s v="I101585"/>
    <s v="C157226"/>
    <x v="1"/>
    <n v="65"/>
    <x v="0"/>
    <x v="2"/>
    <n v="3"/>
    <n v="45.45"/>
    <s v="Credit Card"/>
    <d v="2022-09-26T00:00:00"/>
    <x v="2"/>
  </r>
  <r>
    <s v="I101587"/>
    <s v="C434876"/>
    <x v="1"/>
    <n v="53"/>
    <x v="1"/>
    <x v="3"/>
    <n v="5"/>
    <n v="5250"/>
    <s v="Cash"/>
    <d v="2022-01-11T00:00:00"/>
    <x v="7"/>
  </r>
  <r>
    <s v="I101588"/>
    <s v="C769285"/>
    <x v="1"/>
    <n v="63"/>
    <x v="0"/>
    <x v="0"/>
    <n v="3"/>
    <n v="900.24"/>
    <s v="Cash"/>
    <d v="2021-05-17T00:00:00"/>
    <x v="5"/>
  </r>
  <r>
    <s v="I101592"/>
    <s v="C228966"/>
    <x v="1"/>
    <n v="54"/>
    <x v="1"/>
    <x v="2"/>
    <n v="1"/>
    <n v="15.15"/>
    <s v="Credit Card"/>
    <d v="2021-10-25T00:00:00"/>
    <x v="5"/>
  </r>
  <r>
    <s v="I101594"/>
    <s v="C117752"/>
    <x v="1"/>
    <n v="50"/>
    <x v="1"/>
    <x v="5"/>
    <n v="3"/>
    <n v="1800.51"/>
    <s v="Cash"/>
    <d v="2021-08-08T00:00:00"/>
    <x v="8"/>
  </r>
  <r>
    <s v="I101596"/>
    <s v="C309263"/>
    <x v="1"/>
    <n v="43"/>
    <x v="4"/>
    <x v="2"/>
    <n v="5"/>
    <n v="75.75"/>
    <s v="Cash"/>
    <d v="2021-08-30T00:00:00"/>
    <x v="5"/>
  </r>
  <r>
    <s v="I101598"/>
    <s v="C338372"/>
    <x v="1"/>
    <n v="59"/>
    <x v="1"/>
    <x v="1"/>
    <n v="2"/>
    <n v="81.319999999999993"/>
    <s v="Credit Card"/>
    <d v="2021-07-30T00:00:00"/>
    <x v="3"/>
  </r>
  <r>
    <s v="I101603"/>
    <s v="C309591"/>
    <x v="0"/>
    <n v="67"/>
    <x v="0"/>
    <x v="7"/>
    <n v="2"/>
    <n v="71.680000000000007"/>
    <s v="Cash"/>
    <d v="2021-10-05T00:00:00"/>
    <x v="5"/>
  </r>
  <r>
    <s v="I101605"/>
    <s v="C756859"/>
    <x v="1"/>
    <n v="30"/>
    <x v="2"/>
    <x v="0"/>
    <n v="2"/>
    <n v="600.16"/>
    <s v="Cash"/>
    <d v="2023-01-25T00:00:00"/>
    <x v="2"/>
  </r>
  <r>
    <s v="I101606"/>
    <s v="C279630"/>
    <x v="0"/>
    <n v="25"/>
    <x v="3"/>
    <x v="0"/>
    <n v="1"/>
    <n v="300.08"/>
    <s v="Cash"/>
    <d v="2021-11-28T00:00:00"/>
    <x v="2"/>
  </r>
  <r>
    <s v="I101612"/>
    <s v="C185174"/>
    <x v="0"/>
    <n v="39"/>
    <x v="4"/>
    <x v="7"/>
    <n v="3"/>
    <n v="107.52"/>
    <s v="Credit Card"/>
    <d v="2022-12-28T00:00:00"/>
    <x v="3"/>
  </r>
  <r>
    <s v="I101618"/>
    <s v="C203219"/>
    <x v="0"/>
    <n v="24"/>
    <x v="3"/>
    <x v="0"/>
    <n v="1"/>
    <n v="300.08"/>
    <s v="Cash"/>
    <d v="2021-01-10T00:00:00"/>
    <x v="5"/>
  </r>
  <r>
    <s v="I101620"/>
    <s v="C104200"/>
    <x v="1"/>
    <n v="69"/>
    <x v="0"/>
    <x v="0"/>
    <n v="4"/>
    <n v="1200.32"/>
    <s v="Debit Card"/>
    <d v="2021-08-12T00:00:00"/>
    <x v="5"/>
  </r>
  <r>
    <s v="I101621"/>
    <s v="C325188"/>
    <x v="1"/>
    <n v="18"/>
    <x v="3"/>
    <x v="6"/>
    <n v="4"/>
    <n v="46.92"/>
    <s v="Cash"/>
    <d v="2022-03-19T00:00:00"/>
    <x v="5"/>
  </r>
  <r>
    <s v="I101624"/>
    <s v="C115743"/>
    <x v="0"/>
    <n v="62"/>
    <x v="0"/>
    <x v="1"/>
    <n v="3"/>
    <n v="121.98"/>
    <s v="Cash"/>
    <d v="2021-10-15T00:00:00"/>
    <x v="5"/>
  </r>
  <r>
    <s v="I101627"/>
    <s v="C144374"/>
    <x v="0"/>
    <n v="59"/>
    <x v="1"/>
    <x v="4"/>
    <n v="2"/>
    <n v="10.46"/>
    <s v="Debit Card"/>
    <d v="2022-08-26T00:00:00"/>
    <x v="4"/>
  </r>
  <r>
    <s v="I101629"/>
    <s v="C102585"/>
    <x v="0"/>
    <n v="41"/>
    <x v="4"/>
    <x v="1"/>
    <n v="3"/>
    <n v="121.98"/>
    <s v="Cash"/>
    <d v="2021-09-25T00:00:00"/>
    <x v="2"/>
  </r>
  <r>
    <s v="I101634"/>
    <s v="C318714"/>
    <x v="1"/>
    <n v="19"/>
    <x v="3"/>
    <x v="0"/>
    <n v="1"/>
    <n v="300.08"/>
    <s v="Debit Card"/>
    <d v="2022-03-11T00:00:00"/>
    <x v="3"/>
  </r>
  <r>
    <s v="I101635"/>
    <s v="C695700"/>
    <x v="1"/>
    <n v="18"/>
    <x v="3"/>
    <x v="7"/>
    <n v="5"/>
    <n v="179.2"/>
    <s v="Cash"/>
    <d v="2022-06-03T00:00:00"/>
    <x v="6"/>
  </r>
  <r>
    <s v="I101638"/>
    <s v="C217867"/>
    <x v="1"/>
    <n v="27"/>
    <x v="2"/>
    <x v="3"/>
    <n v="2"/>
    <n v="2100"/>
    <s v="Cash"/>
    <d v="2022-07-22T00:00:00"/>
    <x v="3"/>
  </r>
  <r>
    <s v="I101641"/>
    <s v="C483550"/>
    <x v="0"/>
    <n v="37"/>
    <x v="4"/>
    <x v="7"/>
    <n v="3"/>
    <n v="107.52"/>
    <s v="Credit Card"/>
    <d v="2021-12-06T00:00:00"/>
    <x v="8"/>
  </r>
  <r>
    <s v="I101642"/>
    <s v="C296856"/>
    <x v="1"/>
    <n v="39"/>
    <x v="4"/>
    <x v="0"/>
    <n v="4"/>
    <n v="1200.32"/>
    <s v="Debit Card"/>
    <d v="2021-10-22T00:00:00"/>
    <x v="2"/>
  </r>
  <r>
    <s v="I101645"/>
    <s v="C683241"/>
    <x v="1"/>
    <n v="63"/>
    <x v="0"/>
    <x v="0"/>
    <n v="4"/>
    <n v="1200.32"/>
    <s v="Credit Card"/>
    <d v="2022-11-10T00:00:00"/>
    <x v="3"/>
  </r>
  <r>
    <s v="I101649"/>
    <s v="C801987"/>
    <x v="0"/>
    <n v="41"/>
    <x v="4"/>
    <x v="3"/>
    <n v="3"/>
    <n v="3150"/>
    <s v="Cash"/>
    <d v="2021-11-12T00:00:00"/>
    <x v="7"/>
  </r>
  <r>
    <s v="I101653"/>
    <s v="C185129"/>
    <x v="1"/>
    <n v="68"/>
    <x v="0"/>
    <x v="6"/>
    <n v="2"/>
    <n v="23.46"/>
    <s v="Cash"/>
    <d v="2021-04-10T00:00:00"/>
    <x v="5"/>
  </r>
  <r>
    <s v="I101658"/>
    <s v="C254846"/>
    <x v="1"/>
    <n v="63"/>
    <x v="0"/>
    <x v="1"/>
    <n v="1"/>
    <n v="40.659999999999997"/>
    <s v="Credit Card"/>
    <d v="2021-09-18T00:00:00"/>
    <x v="2"/>
  </r>
  <r>
    <s v="I101659"/>
    <s v="C197249"/>
    <x v="1"/>
    <n v="67"/>
    <x v="0"/>
    <x v="5"/>
    <n v="5"/>
    <n v="3000.85"/>
    <s v="Cash"/>
    <d v="2022-11-29T00:00:00"/>
    <x v="1"/>
  </r>
  <r>
    <s v="I101661"/>
    <s v="C156543"/>
    <x v="1"/>
    <n v="45"/>
    <x v="4"/>
    <x v="0"/>
    <n v="4"/>
    <n v="1200.32"/>
    <s v="Cash"/>
    <d v="2022-08-06T00:00:00"/>
    <x v="0"/>
  </r>
  <r>
    <s v="I101667"/>
    <s v="C142998"/>
    <x v="1"/>
    <n v="41"/>
    <x v="4"/>
    <x v="6"/>
    <n v="5"/>
    <n v="58.65"/>
    <s v="Credit Card"/>
    <d v="2022-09-14T00:00:00"/>
    <x v="3"/>
  </r>
  <r>
    <s v="I101669"/>
    <s v="C308898"/>
    <x v="0"/>
    <n v="32"/>
    <x v="2"/>
    <x v="7"/>
    <n v="3"/>
    <n v="107.52"/>
    <s v="Credit Card"/>
    <d v="2022-08-01T00:00:00"/>
    <x v="1"/>
  </r>
  <r>
    <s v="I101670"/>
    <s v="C584201"/>
    <x v="1"/>
    <n v="34"/>
    <x v="2"/>
    <x v="0"/>
    <n v="1"/>
    <n v="300.08"/>
    <s v="Cash"/>
    <d v="2021-02-02T00:00:00"/>
    <x v="7"/>
  </r>
  <r>
    <s v="I101672"/>
    <s v="C976493"/>
    <x v="0"/>
    <n v="21"/>
    <x v="3"/>
    <x v="2"/>
    <n v="2"/>
    <n v="30.3"/>
    <s v="Credit Card"/>
    <d v="2021-01-23T00:00:00"/>
    <x v="3"/>
  </r>
  <r>
    <s v="I101674"/>
    <s v="C284838"/>
    <x v="0"/>
    <n v="22"/>
    <x v="3"/>
    <x v="1"/>
    <n v="1"/>
    <n v="40.659999999999997"/>
    <s v="Credit Card"/>
    <d v="2021-06-12T00:00:00"/>
    <x v="1"/>
  </r>
  <r>
    <s v="I101675"/>
    <s v="C302289"/>
    <x v="1"/>
    <n v="20"/>
    <x v="3"/>
    <x v="1"/>
    <n v="3"/>
    <n v="121.98"/>
    <s v="Debit Card"/>
    <d v="2022-10-06T00:00:00"/>
    <x v="3"/>
  </r>
  <r>
    <s v="I101676"/>
    <s v="C179567"/>
    <x v="1"/>
    <n v="39"/>
    <x v="4"/>
    <x v="0"/>
    <n v="2"/>
    <n v="600.16"/>
    <s v="Cash"/>
    <d v="2023-02-10T00:00:00"/>
    <x v="5"/>
  </r>
  <r>
    <s v="I101677"/>
    <s v="C518156"/>
    <x v="1"/>
    <n v="22"/>
    <x v="3"/>
    <x v="2"/>
    <n v="5"/>
    <n v="75.75"/>
    <s v="Credit Card"/>
    <d v="2021-01-23T00:00:00"/>
    <x v="8"/>
  </r>
  <r>
    <s v="I101682"/>
    <s v="C201671"/>
    <x v="1"/>
    <n v="46"/>
    <x v="1"/>
    <x v="0"/>
    <n v="4"/>
    <n v="1200.32"/>
    <s v="Cash"/>
    <d v="2022-12-07T00:00:00"/>
    <x v="8"/>
  </r>
  <r>
    <s v="I101684"/>
    <s v="C280909"/>
    <x v="1"/>
    <n v="25"/>
    <x v="3"/>
    <x v="6"/>
    <n v="5"/>
    <n v="58.65"/>
    <s v="Credit Card"/>
    <d v="2022-08-28T00:00:00"/>
    <x v="2"/>
  </r>
  <r>
    <s v="I101686"/>
    <s v="C520399"/>
    <x v="1"/>
    <n v="30"/>
    <x v="2"/>
    <x v="0"/>
    <n v="3"/>
    <n v="900.24"/>
    <s v="Debit Card"/>
    <d v="2021-12-03T00:00:00"/>
    <x v="9"/>
  </r>
  <r>
    <s v="I101691"/>
    <s v="C322262"/>
    <x v="0"/>
    <n v="67"/>
    <x v="0"/>
    <x v="6"/>
    <n v="4"/>
    <n v="46.92"/>
    <s v="Cash"/>
    <d v="2021-03-05T00:00:00"/>
    <x v="2"/>
  </r>
  <r>
    <s v="I101700"/>
    <s v="C156564"/>
    <x v="0"/>
    <n v="56"/>
    <x v="1"/>
    <x v="1"/>
    <n v="2"/>
    <n v="81.319999999999993"/>
    <s v="Credit Card"/>
    <d v="2022-03-04T00:00:00"/>
    <x v="9"/>
  </r>
  <r>
    <s v="I101703"/>
    <s v="C113813"/>
    <x v="1"/>
    <n v="65"/>
    <x v="0"/>
    <x v="1"/>
    <n v="1"/>
    <n v="40.659999999999997"/>
    <s v="Credit Card"/>
    <d v="2022-11-01T00:00:00"/>
    <x v="2"/>
  </r>
  <r>
    <s v="I101704"/>
    <s v="C568729"/>
    <x v="1"/>
    <n v="22"/>
    <x v="3"/>
    <x v="7"/>
    <n v="3"/>
    <n v="107.52"/>
    <s v="Credit Card"/>
    <d v="2021-05-10T00:00:00"/>
    <x v="5"/>
  </r>
  <r>
    <s v="I101708"/>
    <s v="C103055"/>
    <x v="0"/>
    <n v="55"/>
    <x v="1"/>
    <x v="4"/>
    <n v="1"/>
    <n v="5.23"/>
    <s v="Cash"/>
    <d v="2021-05-25T00:00:00"/>
    <x v="3"/>
  </r>
  <r>
    <s v="I101709"/>
    <s v="C800815"/>
    <x v="1"/>
    <n v="20"/>
    <x v="3"/>
    <x v="0"/>
    <n v="5"/>
    <n v="1500.4"/>
    <s v="Debit Card"/>
    <d v="2021-09-02T00:00:00"/>
    <x v="2"/>
  </r>
  <r>
    <s v="I101711"/>
    <s v="C354279"/>
    <x v="0"/>
    <n v="48"/>
    <x v="1"/>
    <x v="4"/>
    <n v="3"/>
    <n v="15.69"/>
    <s v="Credit Card"/>
    <d v="2021-06-18T00:00:00"/>
    <x v="7"/>
  </r>
  <r>
    <s v="I101714"/>
    <s v="C273113"/>
    <x v="1"/>
    <n v="33"/>
    <x v="2"/>
    <x v="2"/>
    <n v="3"/>
    <n v="45.45"/>
    <s v="Cash"/>
    <d v="2022-10-11T00:00:00"/>
    <x v="2"/>
  </r>
  <r>
    <s v="I101716"/>
    <s v="C254712"/>
    <x v="1"/>
    <n v="19"/>
    <x v="3"/>
    <x v="0"/>
    <n v="2"/>
    <n v="600.16"/>
    <s v="Debit Card"/>
    <d v="2021-11-04T00:00:00"/>
    <x v="9"/>
  </r>
  <r>
    <s v="I101717"/>
    <s v="C143132"/>
    <x v="0"/>
    <n v="42"/>
    <x v="4"/>
    <x v="1"/>
    <n v="5"/>
    <n v="203.3"/>
    <s v="Cash"/>
    <d v="2021-12-03T00:00:00"/>
    <x v="5"/>
  </r>
  <r>
    <s v="I101720"/>
    <s v="C105307"/>
    <x v="0"/>
    <n v="67"/>
    <x v="0"/>
    <x v="1"/>
    <n v="1"/>
    <n v="40.659999999999997"/>
    <s v="Cash"/>
    <d v="2022-03-29T00:00:00"/>
    <x v="3"/>
  </r>
  <r>
    <s v="I101724"/>
    <s v="C331264"/>
    <x v="1"/>
    <n v="60"/>
    <x v="1"/>
    <x v="4"/>
    <n v="5"/>
    <n v="26.15"/>
    <s v="Cash"/>
    <d v="2022-03-16T00:00:00"/>
    <x v="3"/>
  </r>
  <r>
    <s v="I101727"/>
    <s v="C145580"/>
    <x v="0"/>
    <n v="67"/>
    <x v="0"/>
    <x v="0"/>
    <n v="2"/>
    <n v="600.16"/>
    <s v="Cash"/>
    <d v="2022-05-04T00:00:00"/>
    <x v="8"/>
  </r>
  <r>
    <s v="I101728"/>
    <s v="C183537"/>
    <x v="1"/>
    <n v="48"/>
    <x v="1"/>
    <x v="1"/>
    <n v="2"/>
    <n v="81.319999999999993"/>
    <s v="Cash"/>
    <d v="2021-11-07T00:00:00"/>
    <x v="2"/>
  </r>
  <r>
    <s v="I101730"/>
    <s v="C378627"/>
    <x v="1"/>
    <n v="41"/>
    <x v="4"/>
    <x v="7"/>
    <n v="5"/>
    <n v="179.2"/>
    <s v="Credit Card"/>
    <d v="2021-12-19T00:00:00"/>
    <x v="5"/>
  </r>
  <r>
    <s v="I101731"/>
    <s v="C125296"/>
    <x v="1"/>
    <n v="41"/>
    <x v="4"/>
    <x v="2"/>
    <n v="3"/>
    <n v="45.45"/>
    <s v="Cash"/>
    <d v="2023-01-23T00:00:00"/>
    <x v="2"/>
  </r>
  <r>
    <s v="I101734"/>
    <s v="C150574"/>
    <x v="1"/>
    <n v="26"/>
    <x v="2"/>
    <x v="5"/>
    <n v="2"/>
    <n v="1200.3399999999999"/>
    <s v="Credit Card"/>
    <d v="2021-09-08T00:00:00"/>
    <x v="7"/>
  </r>
  <r>
    <s v="I101739"/>
    <s v="C152510"/>
    <x v="0"/>
    <n v="49"/>
    <x v="1"/>
    <x v="0"/>
    <n v="1"/>
    <n v="300.08"/>
    <s v="Debit Card"/>
    <d v="2021-02-04T00:00:00"/>
    <x v="5"/>
  </r>
  <r>
    <s v="I101740"/>
    <s v="C136633"/>
    <x v="0"/>
    <n v="22"/>
    <x v="3"/>
    <x v="7"/>
    <n v="1"/>
    <n v="35.840000000000003"/>
    <s v="Debit Card"/>
    <d v="2021-11-12T00:00:00"/>
    <x v="9"/>
  </r>
  <r>
    <s v="I101741"/>
    <s v="C319933"/>
    <x v="0"/>
    <n v="68"/>
    <x v="0"/>
    <x v="5"/>
    <n v="3"/>
    <n v="1800.51"/>
    <s v="Credit Card"/>
    <d v="2021-07-21T00:00:00"/>
    <x v="2"/>
  </r>
  <r>
    <s v="I101742"/>
    <s v="C123907"/>
    <x v="1"/>
    <n v="34"/>
    <x v="2"/>
    <x v="7"/>
    <n v="5"/>
    <n v="179.2"/>
    <s v="Credit Card"/>
    <d v="2021-01-17T00:00:00"/>
    <x v="2"/>
  </r>
  <r>
    <s v="I101743"/>
    <s v="C158928"/>
    <x v="0"/>
    <n v="48"/>
    <x v="1"/>
    <x v="1"/>
    <n v="3"/>
    <n v="121.98"/>
    <s v="Cash"/>
    <d v="2022-03-31T00:00:00"/>
    <x v="3"/>
  </r>
  <r>
    <s v="I101745"/>
    <s v="C105559"/>
    <x v="0"/>
    <n v="42"/>
    <x v="4"/>
    <x v="5"/>
    <n v="5"/>
    <n v="3000.85"/>
    <s v="Cash"/>
    <d v="2021-04-05T00:00:00"/>
    <x v="8"/>
  </r>
  <r>
    <s v="I101752"/>
    <s v="C116715"/>
    <x v="1"/>
    <n v="45"/>
    <x v="4"/>
    <x v="6"/>
    <n v="4"/>
    <n v="46.92"/>
    <s v="Cash"/>
    <d v="2021-05-16T00:00:00"/>
    <x v="7"/>
  </r>
  <r>
    <s v="I101753"/>
    <s v="C336142"/>
    <x v="1"/>
    <n v="29"/>
    <x v="2"/>
    <x v="1"/>
    <n v="5"/>
    <n v="203.3"/>
    <s v="Credit Card"/>
    <d v="2021-04-25T00:00:00"/>
    <x v="9"/>
  </r>
  <r>
    <s v="I101754"/>
    <s v="C125307"/>
    <x v="1"/>
    <n v="53"/>
    <x v="1"/>
    <x v="0"/>
    <n v="4"/>
    <n v="1200.32"/>
    <s v="Debit Card"/>
    <d v="2021-09-24T00:00:00"/>
    <x v="5"/>
  </r>
  <r>
    <s v="I101755"/>
    <s v="C333796"/>
    <x v="1"/>
    <n v="53"/>
    <x v="1"/>
    <x v="0"/>
    <n v="3"/>
    <n v="900.24"/>
    <s v="Debit Card"/>
    <d v="2021-02-19T00:00:00"/>
    <x v="3"/>
  </r>
  <r>
    <s v="I101765"/>
    <s v="C280567"/>
    <x v="0"/>
    <n v="41"/>
    <x v="4"/>
    <x v="0"/>
    <n v="3"/>
    <n v="900.24"/>
    <s v="Credit Card"/>
    <d v="2021-08-07T00:00:00"/>
    <x v="5"/>
  </r>
  <r>
    <s v="I101767"/>
    <s v="C181289"/>
    <x v="1"/>
    <n v="30"/>
    <x v="2"/>
    <x v="4"/>
    <n v="4"/>
    <n v="20.92"/>
    <s v="Credit Card"/>
    <d v="2022-10-22T00:00:00"/>
    <x v="7"/>
  </r>
  <r>
    <s v="I101768"/>
    <s v="C249684"/>
    <x v="1"/>
    <n v="56"/>
    <x v="1"/>
    <x v="1"/>
    <n v="3"/>
    <n v="121.98"/>
    <s v="Credit Card"/>
    <d v="2022-01-24T00:00:00"/>
    <x v="2"/>
  </r>
  <r>
    <s v="I101769"/>
    <s v="C306686"/>
    <x v="0"/>
    <n v="61"/>
    <x v="0"/>
    <x v="4"/>
    <n v="5"/>
    <n v="26.15"/>
    <s v="Debit Card"/>
    <d v="2022-04-18T00:00:00"/>
    <x v="1"/>
  </r>
  <r>
    <s v="I101775"/>
    <s v="C867251"/>
    <x v="1"/>
    <n v="64"/>
    <x v="0"/>
    <x v="0"/>
    <n v="2"/>
    <n v="600.16"/>
    <s v="Credit Card"/>
    <d v="2023-02-14T00:00:00"/>
    <x v="2"/>
  </r>
  <r>
    <s v="I101779"/>
    <s v="C114592"/>
    <x v="1"/>
    <n v="62"/>
    <x v="0"/>
    <x v="2"/>
    <n v="3"/>
    <n v="45.45"/>
    <s v="Debit Card"/>
    <d v="2022-03-14T00:00:00"/>
    <x v="2"/>
  </r>
  <r>
    <s v="I101782"/>
    <s v="C221270"/>
    <x v="1"/>
    <n v="26"/>
    <x v="2"/>
    <x v="1"/>
    <n v="5"/>
    <n v="203.3"/>
    <s v="Credit Card"/>
    <d v="2021-06-22T00:00:00"/>
    <x v="2"/>
  </r>
  <r>
    <s v="I101785"/>
    <s v="C279161"/>
    <x v="1"/>
    <n v="31"/>
    <x v="2"/>
    <x v="5"/>
    <n v="5"/>
    <n v="3000.85"/>
    <s v="Debit Card"/>
    <d v="2022-07-13T00:00:00"/>
    <x v="5"/>
  </r>
  <r>
    <s v="I101790"/>
    <s v="C310170"/>
    <x v="1"/>
    <n v="68"/>
    <x v="0"/>
    <x v="2"/>
    <n v="1"/>
    <n v="15.15"/>
    <s v="Credit Card"/>
    <d v="2021-09-06T00:00:00"/>
    <x v="5"/>
  </r>
  <r>
    <s v="I101795"/>
    <s v="C207950"/>
    <x v="0"/>
    <n v="39"/>
    <x v="4"/>
    <x v="0"/>
    <n v="4"/>
    <n v="1200.32"/>
    <s v="Debit Card"/>
    <d v="2023-01-25T00:00:00"/>
    <x v="3"/>
  </r>
  <r>
    <s v="I101799"/>
    <s v="C789602"/>
    <x v="1"/>
    <n v="59"/>
    <x v="1"/>
    <x v="3"/>
    <n v="3"/>
    <n v="3150"/>
    <s v="Credit Card"/>
    <d v="2022-05-18T00:00:00"/>
    <x v="1"/>
  </r>
  <r>
    <s v="I101806"/>
    <s v="C322425"/>
    <x v="1"/>
    <n v="42"/>
    <x v="4"/>
    <x v="0"/>
    <n v="1"/>
    <n v="300.08"/>
    <s v="Credit Card"/>
    <d v="2022-01-05T00:00:00"/>
    <x v="2"/>
  </r>
  <r>
    <s v="I101809"/>
    <s v="C148190"/>
    <x v="1"/>
    <n v="21"/>
    <x v="3"/>
    <x v="0"/>
    <n v="5"/>
    <n v="1500.4"/>
    <s v="Cash"/>
    <d v="2021-11-10T00:00:00"/>
    <x v="2"/>
  </r>
  <r>
    <s v="I101810"/>
    <s v="C259949"/>
    <x v="1"/>
    <n v="69"/>
    <x v="0"/>
    <x v="7"/>
    <n v="4"/>
    <n v="143.36000000000001"/>
    <s v="Credit Card"/>
    <d v="2021-07-05T00:00:00"/>
    <x v="0"/>
  </r>
  <r>
    <s v="I101819"/>
    <s v="C787263"/>
    <x v="1"/>
    <n v="59"/>
    <x v="1"/>
    <x v="7"/>
    <n v="3"/>
    <n v="107.52"/>
    <s v="Cash"/>
    <d v="2022-06-17T00:00:00"/>
    <x v="7"/>
  </r>
  <r>
    <s v="I101820"/>
    <s v="C324317"/>
    <x v="0"/>
    <n v="69"/>
    <x v="0"/>
    <x v="0"/>
    <n v="1"/>
    <n v="300.08"/>
    <s v="Cash"/>
    <d v="2021-08-14T00:00:00"/>
    <x v="0"/>
  </r>
  <r>
    <s v="I101822"/>
    <s v="C178709"/>
    <x v="1"/>
    <n v="53"/>
    <x v="1"/>
    <x v="4"/>
    <n v="4"/>
    <n v="20.92"/>
    <s v="Debit Card"/>
    <d v="2022-07-04T00:00:00"/>
    <x v="9"/>
  </r>
  <r>
    <s v="I101823"/>
    <s v="C121785"/>
    <x v="0"/>
    <n v="64"/>
    <x v="0"/>
    <x v="0"/>
    <n v="4"/>
    <n v="1200.32"/>
    <s v="Credit Card"/>
    <d v="2021-06-22T00:00:00"/>
    <x v="0"/>
  </r>
  <r>
    <s v="I101827"/>
    <s v="C150375"/>
    <x v="1"/>
    <n v="27"/>
    <x v="2"/>
    <x v="7"/>
    <n v="3"/>
    <n v="107.52"/>
    <s v="Cash"/>
    <d v="2022-11-11T00:00:00"/>
    <x v="5"/>
  </r>
  <r>
    <s v="I101829"/>
    <s v="C207614"/>
    <x v="1"/>
    <n v="52"/>
    <x v="1"/>
    <x v="3"/>
    <n v="2"/>
    <n v="2100"/>
    <s v="Credit Card"/>
    <d v="2021-11-25T00:00:00"/>
    <x v="9"/>
  </r>
  <r>
    <s v="I101832"/>
    <s v="C261194"/>
    <x v="1"/>
    <n v="40"/>
    <x v="4"/>
    <x v="1"/>
    <n v="3"/>
    <n v="121.98"/>
    <s v="Credit Card"/>
    <d v="2022-12-25T00:00:00"/>
    <x v="5"/>
  </r>
  <r>
    <s v="I101834"/>
    <s v="C407525"/>
    <x v="1"/>
    <n v="69"/>
    <x v="0"/>
    <x v="7"/>
    <n v="5"/>
    <n v="179.2"/>
    <s v="Cash"/>
    <d v="2021-04-23T00:00:00"/>
    <x v="9"/>
  </r>
  <r>
    <s v="I101837"/>
    <s v="C288430"/>
    <x v="1"/>
    <n v="33"/>
    <x v="2"/>
    <x v="5"/>
    <n v="4"/>
    <n v="2400.6799999999998"/>
    <s v="Credit Card"/>
    <d v="2022-05-14T00:00:00"/>
    <x v="3"/>
  </r>
  <r>
    <s v="I101840"/>
    <s v="C128251"/>
    <x v="0"/>
    <n v="61"/>
    <x v="0"/>
    <x v="0"/>
    <n v="3"/>
    <n v="900.24"/>
    <s v="Credit Card"/>
    <d v="2022-03-28T00:00:00"/>
    <x v="5"/>
  </r>
  <r>
    <s v="I101842"/>
    <s v="C158131"/>
    <x v="1"/>
    <n v="62"/>
    <x v="0"/>
    <x v="5"/>
    <n v="1"/>
    <n v="600.16999999999996"/>
    <s v="Credit Card"/>
    <d v="2021-04-27T00:00:00"/>
    <x v="7"/>
  </r>
  <r>
    <s v="I101843"/>
    <s v="C300621"/>
    <x v="1"/>
    <n v="61"/>
    <x v="0"/>
    <x v="0"/>
    <n v="5"/>
    <n v="1500.4"/>
    <s v="Cash"/>
    <d v="2023-01-18T00:00:00"/>
    <x v="5"/>
  </r>
  <r>
    <s v="I101852"/>
    <s v="C224985"/>
    <x v="0"/>
    <n v="32"/>
    <x v="2"/>
    <x v="0"/>
    <n v="2"/>
    <n v="600.16"/>
    <s v="Debit Card"/>
    <d v="2023-03-04T00:00:00"/>
    <x v="2"/>
  </r>
  <r>
    <s v="I101854"/>
    <s v="C190002"/>
    <x v="0"/>
    <n v="41"/>
    <x v="4"/>
    <x v="5"/>
    <n v="1"/>
    <n v="600.16999999999996"/>
    <s v="Cash"/>
    <d v="2022-10-14T00:00:00"/>
    <x v="2"/>
  </r>
  <r>
    <s v="I101855"/>
    <s v="C120734"/>
    <x v="1"/>
    <n v="25"/>
    <x v="3"/>
    <x v="2"/>
    <n v="4"/>
    <n v="60.6"/>
    <s v="Cash"/>
    <d v="2023-02-18T00:00:00"/>
    <x v="6"/>
  </r>
  <r>
    <s v="I101857"/>
    <s v="C227245"/>
    <x v="1"/>
    <n v="34"/>
    <x v="2"/>
    <x v="6"/>
    <n v="2"/>
    <n v="23.46"/>
    <s v="Cash"/>
    <d v="2022-04-29T00:00:00"/>
    <x v="7"/>
  </r>
  <r>
    <s v="I101862"/>
    <s v="C352919"/>
    <x v="1"/>
    <n v="24"/>
    <x v="3"/>
    <x v="5"/>
    <n v="2"/>
    <n v="1200.3399999999999"/>
    <s v="Credit Card"/>
    <d v="2022-12-02T00:00:00"/>
    <x v="1"/>
  </r>
  <r>
    <s v="I101865"/>
    <s v="C248634"/>
    <x v="1"/>
    <n v="47"/>
    <x v="1"/>
    <x v="0"/>
    <n v="1"/>
    <n v="300.08"/>
    <s v="Cash"/>
    <d v="2023-01-15T00:00:00"/>
    <x v="2"/>
  </r>
  <r>
    <s v="I101869"/>
    <s v="C578801"/>
    <x v="0"/>
    <n v="27"/>
    <x v="2"/>
    <x v="3"/>
    <n v="2"/>
    <n v="2100"/>
    <s v="Cash"/>
    <d v="2023-01-25T00:00:00"/>
    <x v="2"/>
  </r>
  <r>
    <s v="I101870"/>
    <s v="C350587"/>
    <x v="1"/>
    <n v="68"/>
    <x v="0"/>
    <x v="5"/>
    <n v="3"/>
    <n v="1800.51"/>
    <s v="Cash"/>
    <d v="2021-03-24T00:00:00"/>
    <x v="7"/>
  </r>
  <r>
    <s v="I101871"/>
    <s v="C233682"/>
    <x v="1"/>
    <n v="26"/>
    <x v="2"/>
    <x v="1"/>
    <n v="4"/>
    <n v="162.63999999999999"/>
    <s v="Cash"/>
    <d v="2023-01-22T00:00:00"/>
    <x v="5"/>
  </r>
  <r>
    <s v="I101873"/>
    <s v="C844870"/>
    <x v="1"/>
    <n v="67"/>
    <x v="0"/>
    <x v="0"/>
    <n v="2"/>
    <n v="600.16"/>
    <s v="Credit Card"/>
    <d v="2021-12-14T00:00:00"/>
    <x v="0"/>
  </r>
  <r>
    <s v="I101879"/>
    <s v="C419320"/>
    <x v="0"/>
    <n v="52"/>
    <x v="1"/>
    <x v="1"/>
    <n v="2"/>
    <n v="81.319999999999993"/>
    <s v="Credit Card"/>
    <d v="2021-06-18T00:00:00"/>
    <x v="5"/>
  </r>
  <r>
    <s v="I101882"/>
    <s v="C225381"/>
    <x v="0"/>
    <n v="38"/>
    <x v="4"/>
    <x v="0"/>
    <n v="4"/>
    <n v="1200.32"/>
    <s v="Cash"/>
    <d v="2022-06-10T00:00:00"/>
    <x v="4"/>
  </r>
  <r>
    <s v="I101885"/>
    <s v="C199456"/>
    <x v="0"/>
    <n v="57"/>
    <x v="1"/>
    <x v="2"/>
    <n v="4"/>
    <n v="60.6"/>
    <s v="Credit Card"/>
    <d v="2021-04-18T00:00:00"/>
    <x v="6"/>
  </r>
  <r>
    <s v="I101887"/>
    <s v="C169919"/>
    <x v="0"/>
    <n v="32"/>
    <x v="2"/>
    <x v="6"/>
    <n v="4"/>
    <n v="46.92"/>
    <s v="Cash"/>
    <d v="2021-08-16T00:00:00"/>
    <x v="3"/>
  </r>
  <r>
    <s v="I101888"/>
    <s v="C216076"/>
    <x v="0"/>
    <n v="69"/>
    <x v="0"/>
    <x v="0"/>
    <n v="5"/>
    <n v="1500.4"/>
    <s v="Cash"/>
    <d v="2021-02-22T00:00:00"/>
    <x v="7"/>
  </r>
  <r>
    <s v="I101889"/>
    <s v="C121577"/>
    <x v="1"/>
    <n v="52"/>
    <x v="1"/>
    <x v="5"/>
    <n v="3"/>
    <n v="1800.51"/>
    <s v="Cash"/>
    <d v="2022-02-17T00:00:00"/>
    <x v="7"/>
  </r>
  <r>
    <s v="I101891"/>
    <s v="C180405"/>
    <x v="1"/>
    <n v="21"/>
    <x v="3"/>
    <x v="1"/>
    <n v="2"/>
    <n v="81.319999999999993"/>
    <s v="Debit Card"/>
    <d v="2022-09-20T00:00:00"/>
    <x v="8"/>
  </r>
  <r>
    <s v="I101893"/>
    <s v="C586871"/>
    <x v="1"/>
    <n v="36"/>
    <x v="4"/>
    <x v="4"/>
    <n v="1"/>
    <n v="5.23"/>
    <s v="Credit Card"/>
    <d v="2022-04-12T00:00:00"/>
    <x v="1"/>
  </r>
  <r>
    <s v="I101896"/>
    <s v="C113243"/>
    <x v="0"/>
    <n v="51"/>
    <x v="1"/>
    <x v="4"/>
    <n v="2"/>
    <n v="10.46"/>
    <s v="Credit Card"/>
    <d v="2022-03-27T00:00:00"/>
    <x v="5"/>
  </r>
  <r>
    <s v="I101901"/>
    <s v="C241557"/>
    <x v="0"/>
    <n v="53"/>
    <x v="1"/>
    <x v="4"/>
    <n v="4"/>
    <n v="20.92"/>
    <s v="Cash"/>
    <d v="2021-04-27T00:00:00"/>
    <x v="9"/>
  </r>
  <r>
    <s v="I101902"/>
    <s v="C195949"/>
    <x v="1"/>
    <n v="64"/>
    <x v="0"/>
    <x v="0"/>
    <n v="5"/>
    <n v="1500.4"/>
    <s v="Credit Card"/>
    <d v="2021-04-05T00:00:00"/>
    <x v="2"/>
  </r>
  <r>
    <s v="I101904"/>
    <s v="C106038"/>
    <x v="1"/>
    <n v="23"/>
    <x v="3"/>
    <x v="6"/>
    <n v="1"/>
    <n v="11.73"/>
    <s v="Credit Card"/>
    <d v="2021-02-22T00:00:00"/>
    <x v="5"/>
  </r>
  <r>
    <s v="I101905"/>
    <s v="C147666"/>
    <x v="1"/>
    <n v="36"/>
    <x v="4"/>
    <x v="1"/>
    <n v="3"/>
    <n v="121.98"/>
    <s v="Cash"/>
    <d v="2021-02-24T00:00:00"/>
    <x v="5"/>
  </r>
  <r>
    <s v="I101906"/>
    <s v="C306258"/>
    <x v="0"/>
    <n v="65"/>
    <x v="0"/>
    <x v="5"/>
    <n v="2"/>
    <n v="1200.3399999999999"/>
    <s v="Credit Card"/>
    <d v="2022-05-29T00:00:00"/>
    <x v="3"/>
  </r>
  <r>
    <s v="I101910"/>
    <s v="C304301"/>
    <x v="0"/>
    <n v="41"/>
    <x v="4"/>
    <x v="6"/>
    <n v="4"/>
    <n v="46.92"/>
    <s v="Cash"/>
    <d v="2022-03-29T00:00:00"/>
    <x v="1"/>
  </r>
  <r>
    <s v="I101912"/>
    <s v="C499795"/>
    <x v="1"/>
    <n v="46"/>
    <x v="1"/>
    <x v="1"/>
    <n v="5"/>
    <n v="203.3"/>
    <s v="Debit Card"/>
    <d v="2022-07-29T00:00:00"/>
    <x v="4"/>
  </r>
  <r>
    <s v="I101915"/>
    <s v="C112646"/>
    <x v="0"/>
    <n v="42"/>
    <x v="4"/>
    <x v="0"/>
    <n v="1"/>
    <n v="300.08"/>
    <s v="Credit Card"/>
    <d v="2022-09-22T00:00:00"/>
    <x v="5"/>
  </r>
  <r>
    <s v="I101919"/>
    <s v="C209103"/>
    <x v="0"/>
    <n v="32"/>
    <x v="2"/>
    <x v="0"/>
    <n v="4"/>
    <n v="1200.32"/>
    <s v="Credit Card"/>
    <d v="2021-10-20T00:00:00"/>
    <x v="7"/>
  </r>
  <r>
    <s v="I101920"/>
    <s v="C208660"/>
    <x v="1"/>
    <n v="37"/>
    <x v="4"/>
    <x v="4"/>
    <n v="4"/>
    <n v="20.92"/>
    <s v="Debit Card"/>
    <d v="2021-10-26T00:00:00"/>
    <x v="8"/>
  </r>
  <r>
    <s v="I101921"/>
    <s v="C243839"/>
    <x v="1"/>
    <n v="39"/>
    <x v="4"/>
    <x v="2"/>
    <n v="3"/>
    <n v="45.45"/>
    <s v="Credit Card"/>
    <d v="2023-02-16T00:00:00"/>
    <x v="0"/>
  </r>
  <r>
    <s v="I101925"/>
    <s v="C329689"/>
    <x v="0"/>
    <n v="66"/>
    <x v="0"/>
    <x v="3"/>
    <n v="3"/>
    <n v="3150"/>
    <s v="Debit Card"/>
    <d v="2023-02-03T00:00:00"/>
    <x v="2"/>
  </r>
  <r>
    <s v="I101927"/>
    <s v="C156809"/>
    <x v="0"/>
    <n v="53"/>
    <x v="1"/>
    <x v="2"/>
    <n v="2"/>
    <n v="30.3"/>
    <s v="Credit Card"/>
    <d v="2021-06-15T00:00:00"/>
    <x v="2"/>
  </r>
  <r>
    <s v="I101934"/>
    <s v="C153128"/>
    <x v="0"/>
    <n v="41"/>
    <x v="4"/>
    <x v="1"/>
    <n v="3"/>
    <n v="121.98"/>
    <s v="Debit Card"/>
    <d v="2021-12-31T00:00:00"/>
    <x v="0"/>
  </r>
  <r>
    <s v="I101940"/>
    <s v="C283119"/>
    <x v="1"/>
    <n v="18"/>
    <x v="3"/>
    <x v="6"/>
    <n v="5"/>
    <n v="58.65"/>
    <s v="Cash"/>
    <d v="2022-12-25T00:00:00"/>
    <x v="9"/>
  </r>
  <r>
    <s v="I101953"/>
    <s v="C316666"/>
    <x v="0"/>
    <n v="52"/>
    <x v="1"/>
    <x v="3"/>
    <n v="3"/>
    <n v="3150"/>
    <s v="Cash"/>
    <d v="2021-02-16T00:00:00"/>
    <x v="3"/>
  </r>
  <r>
    <s v="I101967"/>
    <s v="C218507"/>
    <x v="1"/>
    <n v="26"/>
    <x v="2"/>
    <x v="4"/>
    <n v="5"/>
    <n v="26.15"/>
    <s v="Cash"/>
    <d v="2023-02-25T00:00:00"/>
    <x v="9"/>
  </r>
  <r>
    <s v="I101968"/>
    <s v="C134978"/>
    <x v="0"/>
    <n v="56"/>
    <x v="1"/>
    <x v="0"/>
    <n v="3"/>
    <n v="900.24"/>
    <s v="Credit Card"/>
    <d v="2023-01-24T00:00:00"/>
    <x v="3"/>
  </r>
  <r>
    <s v="I101972"/>
    <s v="C182834"/>
    <x v="1"/>
    <n v="57"/>
    <x v="1"/>
    <x v="0"/>
    <n v="5"/>
    <n v="1500.4"/>
    <s v="Credit Card"/>
    <d v="2022-02-03T00:00:00"/>
    <x v="3"/>
  </r>
  <r>
    <s v="I101974"/>
    <s v="C184510"/>
    <x v="0"/>
    <n v="57"/>
    <x v="1"/>
    <x v="7"/>
    <n v="5"/>
    <n v="179.2"/>
    <s v="Credit Card"/>
    <d v="2021-11-11T00:00:00"/>
    <x v="2"/>
  </r>
  <r>
    <s v="I101975"/>
    <s v="C208782"/>
    <x v="1"/>
    <n v="22"/>
    <x v="3"/>
    <x v="0"/>
    <n v="2"/>
    <n v="600.16"/>
    <s v="Cash"/>
    <d v="2022-01-07T00:00:00"/>
    <x v="5"/>
  </r>
  <r>
    <s v="I101978"/>
    <s v="C188650"/>
    <x v="1"/>
    <n v="42"/>
    <x v="4"/>
    <x v="0"/>
    <n v="5"/>
    <n v="1500.4"/>
    <s v="Debit Card"/>
    <d v="2022-08-14T00:00:00"/>
    <x v="2"/>
  </r>
  <r>
    <s v="I101979"/>
    <s v="C109876"/>
    <x v="0"/>
    <n v="25"/>
    <x v="3"/>
    <x v="0"/>
    <n v="2"/>
    <n v="600.16"/>
    <s v="Cash"/>
    <d v="2023-02-22T00:00:00"/>
    <x v="2"/>
  </r>
  <r>
    <s v="I101982"/>
    <s v="C116333"/>
    <x v="1"/>
    <n v="40"/>
    <x v="4"/>
    <x v="3"/>
    <n v="5"/>
    <n v="5250"/>
    <s v="Cash"/>
    <d v="2021-02-01T00:00:00"/>
    <x v="0"/>
  </r>
  <r>
    <s v="I101983"/>
    <s v="C889640"/>
    <x v="0"/>
    <n v="57"/>
    <x v="1"/>
    <x v="7"/>
    <n v="1"/>
    <n v="35.840000000000003"/>
    <s v="Credit Card"/>
    <d v="2021-09-16T00:00:00"/>
    <x v="4"/>
  </r>
  <r>
    <s v="I101984"/>
    <s v="C117381"/>
    <x v="0"/>
    <n v="45"/>
    <x v="4"/>
    <x v="0"/>
    <n v="2"/>
    <n v="600.16"/>
    <s v="Credit Card"/>
    <d v="2022-10-01T00:00:00"/>
    <x v="3"/>
  </r>
  <r>
    <s v="I101989"/>
    <s v="C269810"/>
    <x v="0"/>
    <n v="66"/>
    <x v="0"/>
    <x v="0"/>
    <n v="4"/>
    <n v="1200.32"/>
    <s v="Credit Card"/>
    <d v="2021-03-28T00:00:00"/>
    <x v="4"/>
  </r>
  <r>
    <s v="I101993"/>
    <s v="C158626"/>
    <x v="1"/>
    <n v="52"/>
    <x v="1"/>
    <x v="5"/>
    <n v="1"/>
    <n v="600.16999999999996"/>
    <s v="Cash"/>
    <d v="2021-10-02T00:00:00"/>
    <x v="4"/>
  </r>
  <r>
    <s v="I101996"/>
    <s v="C157238"/>
    <x v="1"/>
    <n v="32"/>
    <x v="2"/>
    <x v="1"/>
    <n v="3"/>
    <n v="121.98"/>
    <s v="Cash"/>
    <d v="2021-06-15T00:00:00"/>
    <x v="5"/>
  </r>
  <r>
    <s v="I102001"/>
    <s v="C167373"/>
    <x v="1"/>
    <n v="54"/>
    <x v="1"/>
    <x v="4"/>
    <n v="5"/>
    <n v="26.15"/>
    <s v="Debit Card"/>
    <d v="2021-05-24T00:00:00"/>
    <x v="5"/>
  </r>
  <r>
    <s v="I102006"/>
    <s v="C133645"/>
    <x v="1"/>
    <n v="64"/>
    <x v="0"/>
    <x v="0"/>
    <n v="2"/>
    <n v="600.16"/>
    <s v="Debit Card"/>
    <d v="2021-01-07T00:00:00"/>
    <x v="5"/>
  </r>
  <r>
    <s v="I102008"/>
    <s v="C171022"/>
    <x v="1"/>
    <n v="47"/>
    <x v="1"/>
    <x v="0"/>
    <n v="5"/>
    <n v="1500.4"/>
    <s v="Debit Card"/>
    <d v="2023-02-15T00:00:00"/>
    <x v="6"/>
  </r>
  <r>
    <s v="I102009"/>
    <s v="C146739"/>
    <x v="1"/>
    <n v="31"/>
    <x v="2"/>
    <x v="5"/>
    <n v="1"/>
    <n v="600.16999999999996"/>
    <s v="Cash"/>
    <d v="2021-11-13T00:00:00"/>
    <x v="6"/>
  </r>
  <r>
    <s v="I102014"/>
    <s v="C158673"/>
    <x v="0"/>
    <n v="37"/>
    <x v="4"/>
    <x v="4"/>
    <n v="1"/>
    <n v="5.23"/>
    <s v="Cash"/>
    <d v="2021-02-26T00:00:00"/>
    <x v="7"/>
  </r>
  <r>
    <s v="I102015"/>
    <s v="C127328"/>
    <x v="1"/>
    <n v="18"/>
    <x v="3"/>
    <x v="0"/>
    <n v="3"/>
    <n v="900.24"/>
    <s v="Cash"/>
    <d v="2022-01-23T00:00:00"/>
    <x v="1"/>
  </r>
  <r>
    <s v="I102020"/>
    <s v="C244182"/>
    <x v="0"/>
    <n v="20"/>
    <x v="3"/>
    <x v="4"/>
    <n v="4"/>
    <n v="20.92"/>
    <s v="Debit Card"/>
    <d v="2022-08-10T00:00:00"/>
    <x v="5"/>
  </r>
  <r>
    <s v="I102021"/>
    <s v="C178086"/>
    <x v="1"/>
    <n v="43"/>
    <x v="4"/>
    <x v="7"/>
    <n v="4"/>
    <n v="143.36000000000001"/>
    <s v="Cash"/>
    <d v="2022-04-07T00:00:00"/>
    <x v="6"/>
  </r>
  <r>
    <s v="I102024"/>
    <s v="C132062"/>
    <x v="1"/>
    <n v="19"/>
    <x v="3"/>
    <x v="6"/>
    <n v="5"/>
    <n v="58.65"/>
    <s v="Credit Card"/>
    <d v="2022-11-10T00:00:00"/>
    <x v="5"/>
  </r>
  <r>
    <s v="I102025"/>
    <s v="C119370"/>
    <x v="0"/>
    <n v="51"/>
    <x v="1"/>
    <x v="2"/>
    <n v="3"/>
    <n v="45.45"/>
    <s v="Credit Card"/>
    <d v="2022-09-14T00:00:00"/>
    <x v="6"/>
  </r>
  <r>
    <s v="I102031"/>
    <s v="C208014"/>
    <x v="1"/>
    <n v="43"/>
    <x v="4"/>
    <x v="7"/>
    <n v="1"/>
    <n v="35.840000000000003"/>
    <s v="Cash"/>
    <d v="2022-09-06T00:00:00"/>
    <x v="5"/>
  </r>
  <r>
    <s v="I102037"/>
    <s v="C523688"/>
    <x v="1"/>
    <n v="58"/>
    <x v="1"/>
    <x v="7"/>
    <n v="1"/>
    <n v="35.840000000000003"/>
    <s v="Cash"/>
    <d v="2022-10-21T00:00:00"/>
    <x v="3"/>
  </r>
  <r>
    <s v="I102038"/>
    <s v="C227579"/>
    <x v="0"/>
    <n v="58"/>
    <x v="1"/>
    <x v="4"/>
    <n v="1"/>
    <n v="5.23"/>
    <s v="Cash"/>
    <d v="2021-05-19T00:00:00"/>
    <x v="8"/>
  </r>
  <r>
    <s v="I102040"/>
    <s v="C184203"/>
    <x v="0"/>
    <n v="39"/>
    <x v="4"/>
    <x v="7"/>
    <n v="4"/>
    <n v="143.36000000000001"/>
    <s v="Cash"/>
    <d v="2021-07-20T00:00:00"/>
    <x v="9"/>
  </r>
  <r>
    <s v="I102041"/>
    <s v="C846159"/>
    <x v="0"/>
    <n v="50"/>
    <x v="1"/>
    <x v="1"/>
    <n v="3"/>
    <n v="121.98"/>
    <s v="Cash"/>
    <d v="2021-08-21T00:00:00"/>
    <x v="2"/>
  </r>
  <r>
    <s v="I102042"/>
    <s v="C539103"/>
    <x v="0"/>
    <n v="42"/>
    <x v="4"/>
    <x v="1"/>
    <n v="3"/>
    <n v="121.98"/>
    <s v="Credit Card"/>
    <d v="2021-08-01T00:00:00"/>
    <x v="5"/>
  </r>
  <r>
    <s v="I102045"/>
    <s v="C105667"/>
    <x v="0"/>
    <n v="40"/>
    <x v="4"/>
    <x v="4"/>
    <n v="3"/>
    <n v="15.69"/>
    <s v="Credit Card"/>
    <d v="2021-05-22T00:00:00"/>
    <x v="7"/>
  </r>
  <r>
    <s v="I102047"/>
    <s v="C203711"/>
    <x v="0"/>
    <n v="65"/>
    <x v="0"/>
    <x v="7"/>
    <n v="3"/>
    <n v="107.52"/>
    <s v="Credit Card"/>
    <d v="2021-06-01T00:00:00"/>
    <x v="7"/>
  </r>
  <r>
    <s v="I102048"/>
    <s v="C597678"/>
    <x v="0"/>
    <n v="23"/>
    <x v="3"/>
    <x v="2"/>
    <n v="1"/>
    <n v="15.15"/>
    <s v="Debit Card"/>
    <d v="2021-08-05T00:00:00"/>
    <x v="2"/>
  </r>
  <r>
    <s v="I102049"/>
    <s v="C282234"/>
    <x v="1"/>
    <n v="58"/>
    <x v="1"/>
    <x v="1"/>
    <n v="4"/>
    <n v="162.63999999999999"/>
    <s v="Cash"/>
    <d v="2022-02-17T00:00:00"/>
    <x v="7"/>
  </r>
  <r>
    <s v="I102051"/>
    <s v="C283917"/>
    <x v="0"/>
    <n v="20"/>
    <x v="3"/>
    <x v="0"/>
    <n v="2"/>
    <n v="600.16"/>
    <s v="Credit Card"/>
    <d v="2022-07-26T00:00:00"/>
    <x v="2"/>
  </r>
  <r>
    <s v="I102053"/>
    <s v="C318494"/>
    <x v="1"/>
    <n v="56"/>
    <x v="1"/>
    <x v="0"/>
    <n v="2"/>
    <n v="600.16"/>
    <s v="Cash"/>
    <d v="2021-05-13T00:00:00"/>
    <x v="2"/>
  </r>
  <r>
    <s v="I102054"/>
    <s v="C948047"/>
    <x v="1"/>
    <n v="38"/>
    <x v="4"/>
    <x v="0"/>
    <n v="1"/>
    <n v="300.08"/>
    <s v="Credit Card"/>
    <d v="2022-05-07T00:00:00"/>
    <x v="1"/>
  </r>
  <r>
    <s v="I102058"/>
    <s v="C245703"/>
    <x v="1"/>
    <n v="50"/>
    <x v="1"/>
    <x v="1"/>
    <n v="1"/>
    <n v="40.659999999999997"/>
    <s v="Debit Card"/>
    <d v="2022-04-27T00:00:00"/>
    <x v="2"/>
  </r>
  <r>
    <s v="I102059"/>
    <s v="C297169"/>
    <x v="1"/>
    <n v="45"/>
    <x v="4"/>
    <x v="6"/>
    <n v="3"/>
    <n v="35.19"/>
    <s v="Cash"/>
    <d v="2022-12-13T00:00:00"/>
    <x v="8"/>
  </r>
  <r>
    <s v="I102061"/>
    <s v="C181574"/>
    <x v="0"/>
    <n v="36"/>
    <x v="4"/>
    <x v="5"/>
    <n v="5"/>
    <n v="3000.85"/>
    <s v="Credit Card"/>
    <d v="2022-03-11T00:00:00"/>
    <x v="5"/>
  </r>
  <r>
    <s v="I102065"/>
    <s v="C799164"/>
    <x v="1"/>
    <n v="40"/>
    <x v="4"/>
    <x v="0"/>
    <n v="2"/>
    <n v="600.16"/>
    <s v="Debit Card"/>
    <d v="2022-04-23T00:00:00"/>
    <x v="7"/>
  </r>
  <r>
    <s v="I102068"/>
    <s v="C317485"/>
    <x v="1"/>
    <n v="20"/>
    <x v="3"/>
    <x v="6"/>
    <n v="1"/>
    <n v="11.73"/>
    <s v="Cash"/>
    <d v="2021-07-07T00:00:00"/>
    <x v="3"/>
  </r>
  <r>
    <s v="I102069"/>
    <s v="C273829"/>
    <x v="1"/>
    <n v="65"/>
    <x v="0"/>
    <x v="4"/>
    <n v="2"/>
    <n v="10.46"/>
    <s v="Cash"/>
    <d v="2022-01-25T00:00:00"/>
    <x v="1"/>
  </r>
  <r>
    <s v="I102070"/>
    <s v="C205475"/>
    <x v="0"/>
    <n v="26"/>
    <x v="2"/>
    <x v="0"/>
    <n v="4"/>
    <n v="1200.32"/>
    <s v="Cash"/>
    <d v="2021-04-20T00:00:00"/>
    <x v="6"/>
  </r>
  <r>
    <s v="I102072"/>
    <s v="C283005"/>
    <x v="1"/>
    <n v="38"/>
    <x v="4"/>
    <x v="1"/>
    <n v="5"/>
    <n v="203.3"/>
    <s v="Credit Card"/>
    <d v="2022-10-05T00:00:00"/>
    <x v="5"/>
  </r>
  <r>
    <s v="I102075"/>
    <s v="C127805"/>
    <x v="1"/>
    <n v="61"/>
    <x v="0"/>
    <x v="1"/>
    <n v="1"/>
    <n v="40.659999999999997"/>
    <s v="Cash"/>
    <d v="2021-07-30T00:00:00"/>
    <x v="3"/>
  </r>
  <r>
    <s v="I102082"/>
    <s v="C402987"/>
    <x v="1"/>
    <n v="31"/>
    <x v="2"/>
    <x v="6"/>
    <n v="5"/>
    <n v="58.65"/>
    <s v="Credit Card"/>
    <d v="2022-06-20T00:00:00"/>
    <x v="3"/>
  </r>
  <r>
    <s v="I102084"/>
    <s v="C339822"/>
    <x v="0"/>
    <n v="25"/>
    <x v="3"/>
    <x v="5"/>
    <n v="2"/>
    <n v="1200.3399999999999"/>
    <s v="Cash"/>
    <d v="2022-02-19T00:00:00"/>
    <x v="3"/>
  </r>
  <r>
    <s v="I102088"/>
    <s v="C184837"/>
    <x v="0"/>
    <n v="36"/>
    <x v="4"/>
    <x v="0"/>
    <n v="3"/>
    <n v="900.24"/>
    <s v="Cash"/>
    <d v="2021-05-08T00:00:00"/>
    <x v="7"/>
  </r>
  <r>
    <s v="I102091"/>
    <s v="C190233"/>
    <x v="1"/>
    <n v="26"/>
    <x v="2"/>
    <x v="7"/>
    <n v="3"/>
    <n v="107.52"/>
    <s v="Debit Card"/>
    <d v="2022-03-15T00:00:00"/>
    <x v="9"/>
  </r>
  <r>
    <s v="I102092"/>
    <s v="C172569"/>
    <x v="1"/>
    <n v="21"/>
    <x v="3"/>
    <x v="5"/>
    <n v="5"/>
    <n v="3000.85"/>
    <s v="Cash"/>
    <d v="2022-11-16T00:00:00"/>
    <x v="1"/>
  </r>
  <r>
    <s v="I102100"/>
    <s v="C252261"/>
    <x v="1"/>
    <n v="69"/>
    <x v="0"/>
    <x v="6"/>
    <n v="1"/>
    <n v="11.73"/>
    <s v="Debit Card"/>
    <d v="2022-03-31T00:00:00"/>
    <x v="5"/>
  </r>
  <r>
    <s v="I102101"/>
    <s v="C270792"/>
    <x v="1"/>
    <n v="30"/>
    <x v="2"/>
    <x v="0"/>
    <n v="5"/>
    <n v="1500.4"/>
    <s v="Debit Card"/>
    <d v="2022-07-21T00:00:00"/>
    <x v="5"/>
  </r>
  <r>
    <s v="I102102"/>
    <s v="C628484"/>
    <x v="0"/>
    <n v="66"/>
    <x v="0"/>
    <x v="5"/>
    <n v="2"/>
    <n v="1200.3399999999999"/>
    <s v="Credit Card"/>
    <d v="2022-06-11T00:00:00"/>
    <x v="9"/>
  </r>
  <r>
    <s v="I102107"/>
    <s v="C294500"/>
    <x v="0"/>
    <n v="31"/>
    <x v="2"/>
    <x v="0"/>
    <n v="5"/>
    <n v="1500.4"/>
    <s v="Debit Card"/>
    <d v="2022-09-06T00:00:00"/>
    <x v="2"/>
  </r>
  <r>
    <s v="I102108"/>
    <s v="C316403"/>
    <x v="1"/>
    <n v="28"/>
    <x v="2"/>
    <x v="5"/>
    <n v="4"/>
    <n v="2400.6799999999998"/>
    <s v="Credit Card"/>
    <d v="2021-06-25T00:00:00"/>
    <x v="4"/>
  </r>
  <r>
    <s v="I102112"/>
    <s v="C308314"/>
    <x v="0"/>
    <n v="26"/>
    <x v="2"/>
    <x v="0"/>
    <n v="3"/>
    <n v="900.24"/>
    <s v="Credit Card"/>
    <d v="2021-12-25T00:00:00"/>
    <x v="3"/>
  </r>
  <r>
    <s v="I102115"/>
    <s v="C629211"/>
    <x v="0"/>
    <n v="50"/>
    <x v="1"/>
    <x v="0"/>
    <n v="5"/>
    <n v="1500.4"/>
    <s v="Debit Card"/>
    <d v="2023-02-02T00:00:00"/>
    <x v="3"/>
  </r>
  <r>
    <s v="I102118"/>
    <s v="C336690"/>
    <x v="1"/>
    <n v="69"/>
    <x v="0"/>
    <x v="1"/>
    <n v="3"/>
    <n v="121.98"/>
    <s v="Cash"/>
    <d v="2023-02-10T00:00:00"/>
    <x v="5"/>
  </r>
  <r>
    <s v="I102119"/>
    <s v="C299453"/>
    <x v="1"/>
    <n v="37"/>
    <x v="4"/>
    <x v="0"/>
    <n v="1"/>
    <n v="300.08"/>
    <s v="Credit Card"/>
    <d v="2022-05-20T00:00:00"/>
    <x v="6"/>
  </r>
  <r>
    <s v="I102120"/>
    <s v="C207445"/>
    <x v="1"/>
    <n v="19"/>
    <x v="3"/>
    <x v="0"/>
    <n v="1"/>
    <n v="300.08"/>
    <s v="Debit Card"/>
    <d v="2022-08-14T00:00:00"/>
    <x v="6"/>
  </r>
  <r>
    <s v="I102128"/>
    <s v="C183134"/>
    <x v="0"/>
    <n v="21"/>
    <x v="3"/>
    <x v="0"/>
    <n v="4"/>
    <n v="1200.32"/>
    <s v="Credit Card"/>
    <d v="2022-08-04T00:00:00"/>
    <x v="3"/>
  </r>
  <r>
    <s v="I102131"/>
    <s v="C330136"/>
    <x v="1"/>
    <n v="65"/>
    <x v="0"/>
    <x v="4"/>
    <n v="1"/>
    <n v="5.23"/>
    <s v="Debit Card"/>
    <d v="2022-04-12T00:00:00"/>
    <x v="4"/>
  </r>
  <r>
    <s v="I102133"/>
    <s v="C121237"/>
    <x v="1"/>
    <n v="36"/>
    <x v="4"/>
    <x v="0"/>
    <n v="1"/>
    <n v="300.08"/>
    <s v="Credit Card"/>
    <d v="2022-01-10T00:00:00"/>
    <x v="5"/>
  </r>
  <r>
    <s v="I102141"/>
    <s v="C329384"/>
    <x v="0"/>
    <n v="34"/>
    <x v="2"/>
    <x v="0"/>
    <n v="1"/>
    <n v="300.08"/>
    <s v="Debit Card"/>
    <d v="2022-02-28T00:00:00"/>
    <x v="2"/>
  </r>
  <r>
    <s v="I102142"/>
    <s v="C234980"/>
    <x v="1"/>
    <n v="22"/>
    <x v="3"/>
    <x v="5"/>
    <n v="2"/>
    <n v="1200.3399999999999"/>
    <s v="Debit Card"/>
    <d v="2022-12-24T00:00:00"/>
    <x v="9"/>
  </r>
  <r>
    <s v="I102143"/>
    <s v="C163307"/>
    <x v="1"/>
    <n v="64"/>
    <x v="0"/>
    <x v="5"/>
    <n v="3"/>
    <n v="1800.51"/>
    <s v="Credit Card"/>
    <d v="2022-01-19T00:00:00"/>
    <x v="5"/>
  </r>
  <r>
    <s v="I102144"/>
    <s v="C317414"/>
    <x v="1"/>
    <n v="45"/>
    <x v="4"/>
    <x v="6"/>
    <n v="4"/>
    <n v="46.92"/>
    <s v="Cash"/>
    <d v="2021-12-07T00:00:00"/>
    <x v="2"/>
  </r>
  <r>
    <s v="I102148"/>
    <s v="C127692"/>
    <x v="1"/>
    <n v="60"/>
    <x v="1"/>
    <x v="0"/>
    <n v="4"/>
    <n v="1200.32"/>
    <s v="Credit Card"/>
    <d v="2022-01-15T00:00:00"/>
    <x v="3"/>
  </r>
  <r>
    <s v="I102149"/>
    <s v="C253677"/>
    <x v="1"/>
    <n v="53"/>
    <x v="1"/>
    <x v="0"/>
    <n v="4"/>
    <n v="1200.32"/>
    <s v="Debit Card"/>
    <d v="2022-03-22T00:00:00"/>
    <x v="2"/>
  </r>
  <r>
    <s v="I102150"/>
    <s v="C336009"/>
    <x v="0"/>
    <n v="48"/>
    <x v="1"/>
    <x v="1"/>
    <n v="3"/>
    <n v="121.98"/>
    <s v="Debit Card"/>
    <d v="2022-10-23T00:00:00"/>
    <x v="5"/>
  </r>
  <r>
    <s v="I102151"/>
    <s v="C460226"/>
    <x v="1"/>
    <n v="64"/>
    <x v="0"/>
    <x v="7"/>
    <n v="2"/>
    <n v="71.680000000000007"/>
    <s v="Cash"/>
    <d v="2022-11-29T00:00:00"/>
    <x v="5"/>
  </r>
  <r>
    <s v="I102157"/>
    <s v="C204532"/>
    <x v="0"/>
    <n v="42"/>
    <x v="4"/>
    <x v="5"/>
    <n v="1"/>
    <n v="600.16999999999996"/>
    <s v="Debit Card"/>
    <d v="2022-09-28T00:00:00"/>
    <x v="2"/>
  </r>
  <r>
    <s v="I102159"/>
    <s v="C115523"/>
    <x v="1"/>
    <n v="21"/>
    <x v="3"/>
    <x v="4"/>
    <n v="2"/>
    <n v="10.46"/>
    <s v="Cash"/>
    <d v="2022-06-02T00:00:00"/>
    <x v="4"/>
  </r>
  <r>
    <s v="I102162"/>
    <s v="C274417"/>
    <x v="1"/>
    <n v="64"/>
    <x v="0"/>
    <x v="4"/>
    <n v="3"/>
    <n v="15.69"/>
    <s v="Credit Card"/>
    <d v="2023-02-12T00:00:00"/>
    <x v="7"/>
  </r>
  <r>
    <s v="I102166"/>
    <s v="C763155"/>
    <x v="0"/>
    <n v="55"/>
    <x v="1"/>
    <x v="2"/>
    <n v="1"/>
    <n v="15.15"/>
    <s v="Cash"/>
    <d v="2022-08-06T00:00:00"/>
    <x v="5"/>
  </r>
  <r>
    <s v="I102167"/>
    <s v="C283282"/>
    <x v="1"/>
    <n v="52"/>
    <x v="1"/>
    <x v="7"/>
    <n v="4"/>
    <n v="143.36000000000001"/>
    <s v="Credit Card"/>
    <d v="2021-06-10T00:00:00"/>
    <x v="8"/>
  </r>
  <r>
    <s v="I102171"/>
    <s v="C170678"/>
    <x v="1"/>
    <n v="53"/>
    <x v="1"/>
    <x v="4"/>
    <n v="4"/>
    <n v="20.92"/>
    <s v="Debit Card"/>
    <d v="2022-01-15T00:00:00"/>
    <x v="8"/>
  </r>
  <r>
    <s v="I102173"/>
    <s v="C222171"/>
    <x v="1"/>
    <n v="38"/>
    <x v="4"/>
    <x v="0"/>
    <n v="3"/>
    <n v="900.24"/>
    <s v="Debit Card"/>
    <d v="2021-03-22T00:00:00"/>
    <x v="0"/>
  </r>
  <r>
    <s v="I102175"/>
    <s v="C287261"/>
    <x v="1"/>
    <n v="65"/>
    <x v="0"/>
    <x v="0"/>
    <n v="2"/>
    <n v="600.16"/>
    <s v="Cash"/>
    <d v="2021-09-02T00:00:00"/>
    <x v="3"/>
  </r>
  <r>
    <s v="I102178"/>
    <s v="C123925"/>
    <x v="1"/>
    <n v="54"/>
    <x v="1"/>
    <x v="7"/>
    <n v="2"/>
    <n v="71.680000000000007"/>
    <s v="Debit Card"/>
    <d v="2021-11-17T00:00:00"/>
    <x v="9"/>
  </r>
  <r>
    <s v="I102182"/>
    <s v="C153009"/>
    <x v="0"/>
    <n v="36"/>
    <x v="4"/>
    <x v="6"/>
    <n v="4"/>
    <n v="46.92"/>
    <s v="Credit Card"/>
    <d v="2021-01-05T00:00:00"/>
    <x v="7"/>
  </r>
  <r>
    <s v="I102184"/>
    <s v="C868347"/>
    <x v="1"/>
    <n v="22"/>
    <x v="3"/>
    <x v="6"/>
    <n v="5"/>
    <n v="58.65"/>
    <s v="Cash"/>
    <d v="2022-04-21T00:00:00"/>
    <x v="9"/>
  </r>
  <r>
    <s v="I102188"/>
    <s v="C306087"/>
    <x v="1"/>
    <n v="24"/>
    <x v="3"/>
    <x v="1"/>
    <n v="3"/>
    <n v="121.98"/>
    <s v="Credit Card"/>
    <d v="2023-02-11T00:00:00"/>
    <x v="3"/>
  </r>
  <r>
    <s v="I102189"/>
    <s v="C135789"/>
    <x v="0"/>
    <n v="59"/>
    <x v="1"/>
    <x v="7"/>
    <n v="1"/>
    <n v="35.840000000000003"/>
    <s v="Cash"/>
    <d v="2022-09-14T00:00:00"/>
    <x v="2"/>
  </r>
  <r>
    <s v="I102191"/>
    <s v="C211798"/>
    <x v="0"/>
    <n v="31"/>
    <x v="2"/>
    <x v="5"/>
    <n v="4"/>
    <n v="2400.6799999999998"/>
    <s v="Cash"/>
    <d v="2022-10-17T00:00:00"/>
    <x v="5"/>
  </r>
  <r>
    <s v="I102193"/>
    <s v="C327121"/>
    <x v="1"/>
    <n v="38"/>
    <x v="4"/>
    <x v="1"/>
    <n v="4"/>
    <n v="162.63999999999999"/>
    <s v="Credit Card"/>
    <d v="2022-01-08T00:00:00"/>
    <x v="7"/>
  </r>
  <r>
    <s v="I102194"/>
    <s v="C328882"/>
    <x v="1"/>
    <n v="63"/>
    <x v="0"/>
    <x v="7"/>
    <n v="4"/>
    <n v="143.36000000000001"/>
    <s v="Debit Card"/>
    <d v="2021-10-27T00:00:00"/>
    <x v="2"/>
  </r>
  <r>
    <s v="I102195"/>
    <s v="C242866"/>
    <x v="1"/>
    <n v="28"/>
    <x v="2"/>
    <x v="0"/>
    <n v="1"/>
    <n v="300.08"/>
    <s v="Credit Card"/>
    <d v="2021-02-21T00:00:00"/>
    <x v="5"/>
  </r>
  <r>
    <s v="I102199"/>
    <s v="C219898"/>
    <x v="0"/>
    <n v="46"/>
    <x v="1"/>
    <x v="4"/>
    <n v="1"/>
    <n v="5.23"/>
    <s v="Credit Card"/>
    <d v="2021-12-01T00:00:00"/>
    <x v="5"/>
  </r>
  <r>
    <s v="I102200"/>
    <s v="C242359"/>
    <x v="1"/>
    <n v="19"/>
    <x v="3"/>
    <x v="0"/>
    <n v="2"/>
    <n v="600.16"/>
    <s v="Credit Card"/>
    <d v="2021-01-25T00:00:00"/>
    <x v="7"/>
  </r>
  <r>
    <s v="I102201"/>
    <s v="C140670"/>
    <x v="1"/>
    <n v="21"/>
    <x v="3"/>
    <x v="2"/>
    <n v="1"/>
    <n v="15.15"/>
    <s v="Debit Card"/>
    <d v="2023-01-04T00:00:00"/>
    <x v="2"/>
  </r>
  <r>
    <s v="I102202"/>
    <s v="C174973"/>
    <x v="1"/>
    <n v="60"/>
    <x v="1"/>
    <x v="3"/>
    <n v="4"/>
    <n v="4200"/>
    <s v="Credit Card"/>
    <d v="2022-07-03T00:00:00"/>
    <x v="7"/>
  </r>
  <r>
    <s v="I102205"/>
    <s v="C688295"/>
    <x v="0"/>
    <n v="23"/>
    <x v="3"/>
    <x v="4"/>
    <n v="2"/>
    <n v="10.46"/>
    <s v="Credit Card"/>
    <d v="2022-07-10T00:00:00"/>
    <x v="5"/>
  </r>
  <r>
    <s v="I102218"/>
    <s v="C335848"/>
    <x v="1"/>
    <n v="57"/>
    <x v="1"/>
    <x v="1"/>
    <n v="1"/>
    <n v="40.659999999999997"/>
    <s v="Credit Card"/>
    <d v="2022-08-23T00:00:00"/>
    <x v="3"/>
  </r>
  <r>
    <s v="I102221"/>
    <s v="C301581"/>
    <x v="1"/>
    <n v="29"/>
    <x v="2"/>
    <x v="0"/>
    <n v="4"/>
    <n v="1200.32"/>
    <s v="Cash"/>
    <d v="2022-11-07T00:00:00"/>
    <x v="5"/>
  </r>
  <r>
    <s v="I102222"/>
    <s v="C171465"/>
    <x v="1"/>
    <n v="65"/>
    <x v="0"/>
    <x v="0"/>
    <n v="5"/>
    <n v="1500.4"/>
    <s v="Debit Card"/>
    <d v="2021-09-27T00:00:00"/>
    <x v="5"/>
  </r>
  <r>
    <s v="I102223"/>
    <s v="C339595"/>
    <x v="1"/>
    <n v="29"/>
    <x v="2"/>
    <x v="0"/>
    <n v="3"/>
    <n v="900.24"/>
    <s v="Cash"/>
    <d v="2022-01-31T00:00:00"/>
    <x v="2"/>
  </r>
  <r>
    <s v="I102224"/>
    <s v="C156712"/>
    <x v="0"/>
    <n v="24"/>
    <x v="3"/>
    <x v="1"/>
    <n v="3"/>
    <n v="121.98"/>
    <s v="Credit Card"/>
    <d v="2022-01-28T00:00:00"/>
    <x v="0"/>
  </r>
  <r>
    <s v="I102225"/>
    <s v="C890104"/>
    <x v="1"/>
    <n v="43"/>
    <x v="4"/>
    <x v="4"/>
    <n v="4"/>
    <n v="20.92"/>
    <s v="Credit Card"/>
    <d v="2022-01-12T00:00:00"/>
    <x v="3"/>
  </r>
  <r>
    <s v="I102229"/>
    <s v="C194316"/>
    <x v="0"/>
    <n v="58"/>
    <x v="1"/>
    <x v="4"/>
    <n v="4"/>
    <n v="20.92"/>
    <s v="Credit Card"/>
    <d v="2021-04-01T00:00:00"/>
    <x v="5"/>
  </r>
  <r>
    <s v="I102232"/>
    <s v="C282538"/>
    <x v="1"/>
    <n v="40"/>
    <x v="4"/>
    <x v="7"/>
    <n v="2"/>
    <n v="71.680000000000007"/>
    <s v="Credit Card"/>
    <d v="2022-12-03T00:00:00"/>
    <x v="2"/>
  </r>
  <r>
    <s v="I102233"/>
    <s v="C284826"/>
    <x v="1"/>
    <n v="47"/>
    <x v="1"/>
    <x v="5"/>
    <n v="5"/>
    <n v="3000.85"/>
    <s v="Credit Card"/>
    <d v="2021-04-25T00:00:00"/>
    <x v="6"/>
  </r>
  <r>
    <s v="I102234"/>
    <s v="C237184"/>
    <x v="0"/>
    <n v="48"/>
    <x v="1"/>
    <x v="0"/>
    <n v="2"/>
    <n v="600.16"/>
    <s v="Cash"/>
    <d v="2021-09-26T00:00:00"/>
    <x v="7"/>
  </r>
  <r>
    <s v="I102237"/>
    <s v="C106693"/>
    <x v="1"/>
    <n v="64"/>
    <x v="0"/>
    <x v="1"/>
    <n v="2"/>
    <n v="81.319999999999993"/>
    <s v="Credit Card"/>
    <d v="2022-07-29T00:00:00"/>
    <x v="2"/>
  </r>
  <r>
    <s v="I102240"/>
    <s v="C281387"/>
    <x v="0"/>
    <n v="29"/>
    <x v="2"/>
    <x v="0"/>
    <n v="4"/>
    <n v="1200.32"/>
    <s v="Credit Card"/>
    <d v="2021-06-22T00:00:00"/>
    <x v="5"/>
  </r>
  <r>
    <s v="I102241"/>
    <s v="C218554"/>
    <x v="0"/>
    <n v="40"/>
    <x v="4"/>
    <x v="1"/>
    <n v="3"/>
    <n v="121.98"/>
    <s v="Debit Card"/>
    <d v="2021-09-16T00:00:00"/>
    <x v="7"/>
  </r>
  <r>
    <s v="I102244"/>
    <s v="C210214"/>
    <x v="0"/>
    <n v="18"/>
    <x v="3"/>
    <x v="0"/>
    <n v="5"/>
    <n v="1500.4"/>
    <s v="Credit Card"/>
    <d v="2022-08-08T00:00:00"/>
    <x v="1"/>
  </r>
  <r>
    <s v="I102250"/>
    <s v="C282314"/>
    <x v="1"/>
    <n v="59"/>
    <x v="1"/>
    <x v="3"/>
    <n v="1"/>
    <n v="1050"/>
    <s v="Cash"/>
    <d v="2021-03-24T00:00:00"/>
    <x v="2"/>
  </r>
  <r>
    <s v="I102254"/>
    <s v="C830416"/>
    <x v="0"/>
    <n v="65"/>
    <x v="0"/>
    <x v="5"/>
    <n v="1"/>
    <n v="600.16999999999996"/>
    <s v="Credit Card"/>
    <d v="2022-02-05T00:00:00"/>
    <x v="5"/>
  </r>
  <r>
    <s v="I102256"/>
    <s v="C263791"/>
    <x v="0"/>
    <n v="44"/>
    <x v="4"/>
    <x v="2"/>
    <n v="3"/>
    <n v="45.45"/>
    <s v="Cash"/>
    <d v="2021-12-08T00:00:00"/>
    <x v="4"/>
  </r>
  <r>
    <s v="I102258"/>
    <s v="C306120"/>
    <x v="1"/>
    <n v="49"/>
    <x v="1"/>
    <x v="0"/>
    <n v="1"/>
    <n v="300.08"/>
    <s v="Credit Card"/>
    <d v="2021-07-31T00:00:00"/>
    <x v="8"/>
  </r>
  <r>
    <s v="I102260"/>
    <s v="C203685"/>
    <x v="0"/>
    <n v="36"/>
    <x v="4"/>
    <x v="2"/>
    <n v="2"/>
    <n v="30.3"/>
    <s v="Cash"/>
    <d v="2021-11-11T00:00:00"/>
    <x v="7"/>
  </r>
  <r>
    <s v="I102261"/>
    <s v="C817162"/>
    <x v="1"/>
    <n v="23"/>
    <x v="3"/>
    <x v="1"/>
    <n v="4"/>
    <n v="162.63999999999999"/>
    <s v="Cash"/>
    <d v="2022-06-18T00:00:00"/>
    <x v="9"/>
  </r>
  <r>
    <s v="I102264"/>
    <s v="C221936"/>
    <x v="1"/>
    <n v="56"/>
    <x v="1"/>
    <x v="0"/>
    <n v="2"/>
    <n v="600.16"/>
    <s v="Credit Card"/>
    <d v="2021-01-22T00:00:00"/>
    <x v="9"/>
  </r>
  <r>
    <s v="I102268"/>
    <s v="C298559"/>
    <x v="1"/>
    <n v="47"/>
    <x v="1"/>
    <x v="5"/>
    <n v="4"/>
    <n v="2400.6799999999998"/>
    <s v="Cash"/>
    <d v="2022-01-31T00:00:00"/>
    <x v="4"/>
  </r>
  <r>
    <s v="I102276"/>
    <s v="C137086"/>
    <x v="1"/>
    <n v="49"/>
    <x v="1"/>
    <x v="1"/>
    <n v="2"/>
    <n v="81.319999999999993"/>
    <s v="Debit Card"/>
    <d v="2022-03-30T00:00:00"/>
    <x v="9"/>
  </r>
  <r>
    <s v="I102278"/>
    <s v="C190867"/>
    <x v="0"/>
    <n v="24"/>
    <x v="3"/>
    <x v="0"/>
    <n v="2"/>
    <n v="600.16"/>
    <s v="Cash"/>
    <d v="2022-05-31T00:00:00"/>
    <x v="5"/>
  </r>
  <r>
    <s v="I102279"/>
    <s v="C192527"/>
    <x v="0"/>
    <n v="64"/>
    <x v="0"/>
    <x v="3"/>
    <n v="3"/>
    <n v="3150"/>
    <s v="Cash"/>
    <d v="2022-04-06T00:00:00"/>
    <x v="3"/>
  </r>
  <r>
    <s v="I102283"/>
    <s v="C889444"/>
    <x v="0"/>
    <n v="36"/>
    <x v="4"/>
    <x v="2"/>
    <n v="2"/>
    <n v="30.3"/>
    <s v="Credit Card"/>
    <d v="2022-04-15T00:00:00"/>
    <x v="3"/>
  </r>
  <r>
    <s v="I102284"/>
    <s v="C378236"/>
    <x v="1"/>
    <n v="63"/>
    <x v="0"/>
    <x v="0"/>
    <n v="5"/>
    <n v="1500.4"/>
    <s v="Cash"/>
    <d v="2022-08-23T00:00:00"/>
    <x v="3"/>
  </r>
  <r>
    <s v="I102286"/>
    <s v="C303985"/>
    <x v="1"/>
    <n v="50"/>
    <x v="1"/>
    <x v="6"/>
    <n v="3"/>
    <n v="35.19"/>
    <s v="Cash"/>
    <d v="2022-01-02T00:00:00"/>
    <x v="0"/>
  </r>
  <r>
    <s v="I102287"/>
    <s v="C844764"/>
    <x v="0"/>
    <n v="38"/>
    <x v="4"/>
    <x v="0"/>
    <n v="1"/>
    <n v="300.08"/>
    <s v="Cash"/>
    <d v="2022-03-16T00:00:00"/>
    <x v="7"/>
  </r>
  <r>
    <s v="I102296"/>
    <s v="C161661"/>
    <x v="0"/>
    <n v="62"/>
    <x v="0"/>
    <x v="1"/>
    <n v="4"/>
    <n v="162.63999999999999"/>
    <s v="Cash"/>
    <d v="2022-09-01T00:00:00"/>
    <x v="8"/>
  </r>
  <r>
    <s v="I102300"/>
    <s v="C244793"/>
    <x v="0"/>
    <n v="46"/>
    <x v="1"/>
    <x v="7"/>
    <n v="3"/>
    <n v="107.52"/>
    <s v="Cash"/>
    <d v="2021-01-10T00:00:00"/>
    <x v="4"/>
  </r>
  <r>
    <s v="I102303"/>
    <s v="C165489"/>
    <x v="0"/>
    <n v="30"/>
    <x v="2"/>
    <x v="4"/>
    <n v="4"/>
    <n v="20.92"/>
    <s v="Credit Card"/>
    <d v="2022-07-13T00:00:00"/>
    <x v="2"/>
  </r>
  <r>
    <s v="I102304"/>
    <s v="C603018"/>
    <x v="1"/>
    <n v="26"/>
    <x v="2"/>
    <x v="6"/>
    <n v="3"/>
    <n v="35.19"/>
    <s v="Cash"/>
    <d v="2021-04-04T00:00:00"/>
    <x v="1"/>
  </r>
  <r>
    <s v="I102306"/>
    <s v="C270038"/>
    <x v="1"/>
    <n v="68"/>
    <x v="0"/>
    <x v="7"/>
    <n v="2"/>
    <n v="71.680000000000007"/>
    <s v="Cash"/>
    <d v="2021-07-02T00:00:00"/>
    <x v="9"/>
  </r>
  <r>
    <s v="I102311"/>
    <s v="C689496"/>
    <x v="1"/>
    <n v="43"/>
    <x v="4"/>
    <x v="5"/>
    <n v="2"/>
    <n v="1200.3399999999999"/>
    <s v="Debit Card"/>
    <d v="2022-03-09T00:00:00"/>
    <x v="7"/>
  </r>
  <r>
    <s v="I102314"/>
    <s v="C244044"/>
    <x v="1"/>
    <n v="21"/>
    <x v="3"/>
    <x v="0"/>
    <n v="1"/>
    <n v="300.08"/>
    <s v="Credit Card"/>
    <d v="2021-08-03T00:00:00"/>
    <x v="5"/>
  </r>
  <r>
    <s v="I102316"/>
    <s v="C102664"/>
    <x v="1"/>
    <n v="63"/>
    <x v="0"/>
    <x v="7"/>
    <n v="2"/>
    <n v="71.680000000000007"/>
    <s v="Credit Card"/>
    <d v="2021-09-26T00:00:00"/>
    <x v="0"/>
  </r>
  <r>
    <s v="I102320"/>
    <s v="C240298"/>
    <x v="1"/>
    <n v="66"/>
    <x v="0"/>
    <x v="1"/>
    <n v="5"/>
    <n v="203.3"/>
    <s v="Credit Card"/>
    <d v="2022-03-05T00:00:00"/>
    <x v="3"/>
  </r>
  <r>
    <s v="I102323"/>
    <s v="C231102"/>
    <x v="1"/>
    <n v="67"/>
    <x v="0"/>
    <x v="0"/>
    <n v="5"/>
    <n v="1500.4"/>
    <s v="Credit Card"/>
    <d v="2023-02-21T00:00:00"/>
    <x v="9"/>
  </r>
  <r>
    <s v="I102324"/>
    <s v="C111343"/>
    <x v="1"/>
    <n v="39"/>
    <x v="4"/>
    <x v="1"/>
    <n v="4"/>
    <n v="162.63999999999999"/>
    <s v="Credit Card"/>
    <d v="2021-04-21T00:00:00"/>
    <x v="3"/>
  </r>
  <r>
    <s v="I102330"/>
    <s v="C552450"/>
    <x v="0"/>
    <n v="18"/>
    <x v="3"/>
    <x v="0"/>
    <n v="4"/>
    <n v="1200.32"/>
    <s v="Cash"/>
    <d v="2022-10-17T00:00:00"/>
    <x v="2"/>
  </r>
  <r>
    <s v="I102332"/>
    <s v="C116250"/>
    <x v="1"/>
    <n v="68"/>
    <x v="0"/>
    <x v="3"/>
    <n v="5"/>
    <n v="5250"/>
    <s v="Cash"/>
    <d v="2022-08-05T00:00:00"/>
    <x v="9"/>
  </r>
  <r>
    <s v="I102340"/>
    <s v="C293553"/>
    <x v="0"/>
    <n v="37"/>
    <x v="4"/>
    <x v="0"/>
    <n v="4"/>
    <n v="1200.32"/>
    <s v="Debit Card"/>
    <d v="2021-09-20T00:00:00"/>
    <x v="9"/>
  </r>
  <r>
    <s v="I102344"/>
    <s v="C411285"/>
    <x v="1"/>
    <n v="61"/>
    <x v="0"/>
    <x v="5"/>
    <n v="3"/>
    <n v="1800.51"/>
    <s v="Cash"/>
    <d v="2022-03-15T00:00:00"/>
    <x v="3"/>
  </r>
  <r>
    <s v="I102345"/>
    <s v="C329679"/>
    <x v="0"/>
    <n v="28"/>
    <x v="2"/>
    <x v="0"/>
    <n v="4"/>
    <n v="1200.32"/>
    <s v="Cash"/>
    <d v="2021-01-29T00:00:00"/>
    <x v="5"/>
  </r>
  <r>
    <s v="I102347"/>
    <s v="C229953"/>
    <x v="0"/>
    <n v="19"/>
    <x v="3"/>
    <x v="0"/>
    <n v="4"/>
    <n v="1200.32"/>
    <s v="Credit Card"/>
    <d v="2022-08-30T00:00:00"/>
    <x v="9"/>
  </r>
  <r>
    <s v="I102348"/>
    <s v="C964439"/>
    <x v="0"/>
    <n v="62"/>
    <x v="0"/>
    <x v="0"/>
    <n v="2"/>
    <n v="600.16"/>
    <s v="Credit Card"/>
    <d v="2023-03-03T00:00:00"/>
    <x v="0"/>
  </r>
  <r>
    <s v="I102355"/>
    <s v="C209984"/>
    <x v="0"/>
    <n v="63"/>
    <x v="0"/>
    <x v="6"/>
    <n v="5"/>
    <n v="58.65"/>
    <s v="Cash"/>
    <d v="2022-01-28T00:00:00"/>
    <x v="6"/>
  </r>
  <r>
    <s v="I102361"/>
    <s v="C831180"/>
    <x v="1"/>
    <n v="25"/>
    <x v="3"/>
    <x v="0"/>
    <n v="2"/>
    <n v="600.16"/>
    <s v="Cash"/>
    <d v="2022-04-28T00:00:00"/>
    <x v="3"/>
  </r>
  <r>
    <s v="I102365"/>
    <s v="C186468"/>
    <x v="0"/>
    <n v="18"/>
    <x v="3"/>
    <x v="0"/>
    <n v="1"/>
    <n v="300.08"/>
    <s v="Cash"/>
    <d v="2022-11-20T00:00:00"/>
    <x v="3"/>
  </r>
  <r>
    <s v="I102371"/>
    <s v="C173386"/>
    <x v="0"/>
    <n v="18"/>
    <x v="3"/>
    <x v="0"/>
    <n v="1"/>
    <n v="300.08"/>
    <s v="Credit Card"/>
    <d v="2022-09-05T00:00:00"/>
    <x v="9"/>
  </r>
  <r>
    <s v="I102374"/>
    <s v="C533960"/>
    <x v="1"/>
    <n v="49"/>
    <x v="1"/>
    <x v="5"/>
    <n v="3"/>
    <n v="1800.51"/>
    <s v="Cash"/>
    <d v="2022-11-23T00:00:00"/>
    <x v="2"/>
  </r>
  <r>
    <s v="I102375"/>
    <s v="C305450"/>
    <x v="1"/>
    <n v="56"/>
    <x v="1"/>
    <x v="6"/>
    <n v="1"/>
    <n v="11.73"/>
    <s v="Cash"/>
    <d v="2022-01-17T00:00:00"/>
    <x v="2"/>
  </r>
  <r>
    <s v="I102376"/>
    <s v="C271700"/>
    <x v="1"/>
    <n v="47"/>
    <x v="1"/>
    <x v="0"/>
    <n v="2"/>
    <n v="600.16"/>
    <s v="Cash"/>
    <d v="2021-07-24T00:00:00"/>
    <x v="1"/>
  </r>
  <r>
    <s v="I102377"/>
    <s v="C124677"/>
    <x v="1"/>
    <n v="35"/>
    <x v="2"/>
    <x v="0"/>
    <n v="3"/>
    <n v="900.24"/>
    <s v="Credit Card"/>
    <d v="2022-09-07T00:00:00"/>
    <x v="4"/>
  </r>
  <r>
    <s v="I102389"/>
    <s v="C455912"/>
    <x v="0"/>
    <n v="24"/>
    <x v="3"/>
    <x v="1"/>
    <n v="3"/>
    <n v="121.98"/>
    <s v="Credit Card"/>
    <d v="2022-06-12T00:00:00"/>
    <x v="2"/>
  </r>
  <r>
    <s v="I102395"/>
    <s v="C316538"/>
    <x v="1"/>
    <n v="48"/>
    <x v="1"/>
    <x v="1"/>
    <n v="4"/>
    <n v="162.63999999999999"/>
    <s v="Cash"/>
    <d v="2021-01-12T00:00:00"/>
    <x v="3"/>
  </r>
  <r>
    <s v="I102396"/>
    <s v="C334331"/>
    <x v="0"/>
    <n v="53"/>
    <x v="1"/>
    <x v="5"/>
    <n v="4"/>
    <n v="2400.6799999999998"/>
    <s v="Cash"/>
    <d v="2022-04-08T00:00:00"/>
    <x v="3"/>
  </r>
  <r>
    <s v="I102397"/>
    <s v="C246554"/>
    <x v="0"/>
    <n v="56"/>
    <x v="1"/>
    <x v="0"/>
    <n v="3"/>
    <n v="900.24"/>
    <s v="Credit Card"/>
    <d v="2021-06-30T00:00:00"/>
    <x v="5"/>
  </r>
  <r>
    <s v="I102398"/>
    <s v="C766818"/>
    <x v="0"/>
    <n v="24"/>
    <x v="3"/>
    <x v="2"/>
    <n v="5"/>
    <n v="75.75"/>
    <s v="Cash"/>
    <d v="2021-06-28T00:00:00"/>
    <x v="9"/>
  </r>
  <r>
    <s v="I102403"/>
    <s v="C610622"/>
    <x v="1"/>
    <n v="41"/>
    <x v="4"/>
    <x v="0"/>
    <n v="3"/>
    <n v="900.24"/>
    <s v="Cash"/>
    <d v="2022-11-27T00:00:00"/>
    <x v="5"/>
  </r>
  <r>
    <s v="I102404"/>
    <s v="C142061"/>
    <x v="0"/>
    <n v="38"/>
    <x v="4"/>
    <x v="0"/>
    <n v="4"/>
    <n v="1200.32"/>
    <s v="Credit Card"/>
    <d v="2021-12-13T00:00:00"/>
    <x v="2"/>
  </r>
  <r>
    <s v="I102405"/>
    <s v="C296119"/>
    <x v="0"/>
    <n v="23"/>
    <x v="3"/>
    <x v="3"/>
    <n v="4"/>
    <n v="4200"/>
    <s v="Credit Card"/>
    <d v="2022-09-17T00:00:00"/>
    <x v="9"/>
  </r>
  <r>
    <s v="I102408"/>
    <s v="C112153"/>
    <x v="1"/>
    <n v="58"/>
    <x v="1"/>
    <x v="0"/>
    <n v="5"/>
    <n v="1500.4"/>
    <s v="Credit Card"/>
    <d v="2022-07-08T00:00:00"/>
    <x v="2"/>
  </r>
  <r>
    <s v="I102413"/>
    <s v="C408282"/>
    <x v="0"/>
    <n v="39"/>
    <x v="4"/>
    <x v="5"/>
    <n v="2"/>
    <n v="1200.3399999999999"/>
    <s v="Debit Card"/>
    <d v="2021-01-25T00:00:00"/>
    <x v="5"/>
  </r>
  <r>
    <s v="I102415"/>
    <s v="C279084"/>
    <x v="1"/>
    <n v="47"/>
    <x v="1"/>
    <x v="5"/>
    <n v="5"/>
    <n v="3000.85"/>
    <s v="Cash"/>
    <d v="2021-07-03T00:00:00"/>
    <x v="3"/>
  </r>
  <r>
    <s v="I102416"/>
    <s v="C318747"/>
    <x v="0"/>
    <n v="45"/>
    <x v="4"/>
    <x v="1"/>
    <n v="4"/>
    <n v="162.63999999999999"/>
    <s v="Credit Card"/>
    <d v="2021-05-10T00:00:00"/>
    <x v="0"/>
  </r>
  <r>
    <s v="I102417"/>
    <s v="C381679"/>
    <x v="1"/>
    <n v="44"/>
    <x v="4"/>
    <x v="4"/>
    <n v="4"/>
    <n v="20.92"/>
    <s v="Debit Card"/>
    <d v="2021-06-16T00:00:00"/>
    <x v="3"/>
  </r>
  <r>
    <s v="I102427"/>
    <s v="C309294"/>
    <x v="0"/>
    <n v="41"/>
    <x v="4"/>
    <x v="6"/>
    <n v="5"/>
    <n v="58.65"/>
    <s v="Debit Card"/>
    <d v="2022-12-12T00:00:00"/>
    <x v="2"/>
  </r>
  <r>
    <s v="I102433"/>
    <s v="C215256"/>
    <x v="1"/>
    <n v="20"/>
    <x v="3"/>
    <x v="7"/>
    <n v="2"/>
    <n v="71.680000000000007"/>
    <s v="Debit Card"/>
    <d v="2021-01-19T00:00:00"/>
    <x v="2"/>
  </r>
  <r>
    <s v="I102437"/>
    <s v="C329779"/>
    <x v="1"/>
    <n v="54"/>
    <x v="1"/>
    <x v="0"/>
    <n v="2"/>
    <n v="600.16"/>
    <s v="Cash"/>
    <d v="2021-11-17T00:00:00"/>
    <x v="5"/>
  </r>
  <r>
    <s v="I102440"/>
    <s v="C583660"/>
    <x v="1"/>
    <n v="68"/>
    <x v="0"/>
    <x v="0"/>
    <n v="3"/>
    <n v="900.24"/>
    <s v="Credit Card"/>
    <d v="2022-12-18T00:00:00"/>
    <x v="1"/>
  </r>
  <r>
    <s v="I102443"/>
    <s v="C998094"/>
    <x v="1"/>
    <n v="53"/>
    <x v="1"/>
    <x v="5"/>
    <n v="2"/>
    <n v="1200.3399999999999"/>
    <s v="Cash"/>
    <d v="2022-09-25T00:00:00"/>
    <x v="3"/>
  </r>
  <r>
    <s v="I102444"/>
    <s v="C310499"/>
    <x v="1"/>
    <n v="28"/>
    <x v="2"/>
    <x v="7"/>
    <n v="1"/>
    <n v="35.840000000000003"/>
    <s v="Debit Card"/>
    <d v="2021-03-23T00:00:00"/>
    <x v="3"/>
  </r>
  <r>
    <s v="I102451"/>
    <s v="C127080"/>
    <x v="1"/>
    <n v="18"/>
    <x v="3"/>
    <x v="1"/>
    <n v="4"/>
    <n v="162.63999999999999"/>
    <s v="Credit Card"/>
    <d v="2021-01-24T00:00:00"/>
    <x v="9"/>
  </r>
  <r>
    <s v="I102453"/>
    <s v="C125666"/>
    <x v="0"/>
    <n v="61"/>
    <x v="0"/>
    <x v="0"/>
    <n v="5"/>
    <n v="1500.4"/>
    <s v="Debit Card"/>
    <d v="2022-10-02T00:00:00"/>
    <x v="0"/>
  </r>
  <r>
    <s v="I102459"/>
    <s v="C379128"/>
    <x v="1"/>
    <n v="55"/>
    <x v="1"/>
    <x v="0"/>
    <n v="4"/>
    <n v="1200.32"/>
    <s v="Debit Card"/>
    <d v="2021-07-25T00:00:00"/>
    <x v="6"/>
  </r>
  <r>
    <s v="I102460"/>
    <s v="C944064"/>
    <x v="1"/>
    <n v="58"/>
    <x v="1"/>
    <x v="0"/>
    <n v="5"/>
    <n v="1500.4"/>
    <s v="Cash"/>
    <d v="2022-07-30T00:00:00"/>
    <x v="2"/>
  </r>
  <r>
    <s v="I102468"/>
    <s v="C450900"/>
    <x v="1"/>
    <n v="49"/>
    <x v="1"/>
    <x v="0"/>
    <n v="3"/>
    <n v="900.24"/>
    <s v="Credit Card"/>
    <d v="2023-01-01T00:00:00"/>
    <x v="5"/>
  </r>
  <r>
    <s v="I102470"/>
    <s v="C240359"/>
    <x v="0"/>
    <n v="60"/>
    <x v="1"/>
    <x v="5"/>
    <n v="5"/>
    <n v="3000.85"/>
    <s v="Credit Card"/>
    <d v="2022-02-10T00:00:00"/>
    <x v="2"/>
  </r>
  <r>
    <s v="I102477"/>
    <s v="C137641"/>
    <x v="0"/>
    <n v="33"/>
    <x v="2"/>
    <x v="3"/>
    <n v="5"/>
    <n v="5250"/>
    <s v="Debit Card"/>
    <d v="2022-03-27T00:00:00"/>
    <x v="2"/>
  </r>
  <r>
    <s v="I102480"/>
    <s v="C264394"/>
    <x v="0"/>
    <n v="28"/>
    <x v="2"/>
    <x v="6"/>
    <n v="2"/>
    <n v="23.46"/>
    <s v="Cash"/>
    <d v="2021-02-24T00:00:00"/>
    <x v="7"/>
  </r>
  <r>
    <s v="I102481"/>
    <s v="C521673"/>
    <x v="0"/>
    <n v="66"/>
    <x v="0"/>
    <x v="5"/>
    <n v="4"/>
    <n v="2400.6799999999998"/>
    <s v="Credit Card"/>
    <d v="2022-04-22T00:00:00"/>
    <x v="5"/>
  </r>
  <r>
    <s v="I102483"/>
    <s v="C179176"/>
    <x v="1"/>
    <n v="34"/>
    <x v="2"/>
    <x v="7"/>
    <n v="5"/>
    <n v="179.2"/>
    <s v="Cash"/>
    <d v="2021-04-05T00:00:00"/>
    <x v="3"/>
  </r>
  <r>
    <s v="I102486"/>
    <s v="C142171"/>
    <x v="0"/>
    <n v="35"/>
    <x v="2"/>
    <x v="0"/>
    <n v="5"/>
    <n v="1500.4"/>
    <s v="Cash"/>
    <d v="2022-11-20T00:00:00"/>
    <x v="9"/>
  </r>
  <r>
    <s v="I102487"/>
    <s v="C104393"/>
    <x v="0"/>
    <n v="35"/>
    <x v="2"/>
    <x v="0"/>
    <n v="1"/>
    <n v="300.08"/>
    <s v="Credit Card"/>
    <d v="2021-02-03T00:00:00"/>
    <x v="5"/>
  </r>
  <r>
    <s v="I102488"/>
    <s v="C217895"/>
    <x v="0"/>
    <n v="57"/>
    <x v="1"/>
    <x v="1"/>
    <n v="5"/>
    <n v="203.3"/>
    <s v="Cash"/>
    <d v="2021-05-21T00:00:00"/>
    <x v="9"/>
  </r>
  <r>
    <s v="I102489"/>
    <s v="C180255"/>
    <x v="0"/>
    <n v="56"/>
    <x v="1"/>
    <x v="4"/>
    <n v="2"/>
    <n v="10.46"/>
    <s v="Debit Card"/>
    <d v="2021-11-25T00:00:00"/>
    <x v="5"/>
  </r>
  <r>
    <s v="I102490"/>
    <s v="C191187"/>
    <x v="1"/>
    <n v="35"/>
    <x v="2"/>
    <x v="6"/>
    <n v="4"/>
    <n v="46.92"/>
    <s v="Credit Card"/>
    <d v="2022-12-18T00:00:00"/>
    <x v="2"/>
  </r>
  <r>
    <s v="I102491"/>
    <s v="C534732"/>
    <x v="1"/>
    <n v="41"/>
    <x v="4"/>
    <x v="5"/>
    <n v="2"/>
    <n v="1200.3399999999999"/>
    <s v="Credit Card"/>
    <d v="2022-09-15T00:00:00"/>
    <x v="7"/>
  </r>
  <r>
    <s v="I102494"/>
    <s v="C260867"/>
    <x v="0"/>
    <n v="47"/>
    <x v="1"/>
    <x v="0"/>
    <n v="4"/>
    <n v="1200.32"/>
    <s v="Debit Card"/>
    <d v="2022-05-25T00:00:00"/>
    <x v="5"/>
  </r>
  <r>
    <s v="I102495"/>
    <s v="C179897"/>
    <x v="0"/>
    <n v="48"/>
    <x v="1"/>
    <x v="0"/>
    <n v="2"/>
    <n v="600.16"/>
    <s v="Cash"/>
    <d v="2021-09-13T00:00:00"/>
    <x v="3"/>
  </r>
  <r>
    <s v="I102497"/>
    <s v="C299013"/>
    <x v="0"/>
    <n v="63"/>
    <x v="0"/>
    <x v="0"/>
    <n v="1"/>
    <n v="300.08"/>
    <s v="Credit Card"/>
    <d v="2022-09-17T00:00:00"/>
    <x v="2"/>
  </r>
  <r>
    <s v="I102500"/>
    <s v="C973474"/>
    <x v="1"/>
    <n v="28"/>
    <x v="2"/>
    <x v="0"/>
    <n v="3"/>
    <n v="900.24"/>
    <s v="Credit Card"/>
    <d v="2022-05-16T00:00:00"/>
    <x v="2"/>
  </r>
  <r>
    <s v="I102501"/>
    <s v="C634728"/>
    <x v="0"/>
    <n v="54"/>
    <x v="1"/>
    <x v="0"/>
    <n v="3"/>
    <n v="900.24"/>
    <s v="Credit Card"/>
    <d v="2021-09-29T00:00:00"/>
    <x v="9"/>
  </r>
  <r>
    <s v="I102502"/>
    <s v="C256344"/>
    <x v="1"/>
    <n v="53"/>
    <x v="1"/>
    <x v="4"/>
    <n v="1"/>
    <n v="5.23"/>
    <s v="Debit Card"/>
    <d v="2021-10-27T00:00:00"/>
    <x v="5"/>
  </r>
  <r>
    <s v="I102504"/>
    <s v="C287619"/>
    <x v="1"/>
    <n v="34"/>
    <x v="2"/>
    <x v="0"/>
    <n v="4"/>
    <n v="1200.32"/>
    <s v="Debit Card"/>
    <d v="2022-10-17T00:00:00"/>
    <x v="3"/>
  </r>
  <r>
    <s v="I102509"/>
    <s v="C164347"/>
    <x v="1"/>
    <n v="22"/>
    <x v="3"/>
    <x v="3"/>
    <n v="5"/>
    <n v="5250"/>
    <s v="Debit Card"/>
    <d v="2022-11-06T00:00:00"/>
    <x v="1"/>
  </r>
  <r>
    <s v="I102512"/>
    <s v="C199702"/>
    <x v="0"/>
    <n v="61"/>
    <x v="0"/>
    <x v="5"/>
    <n v="2"/>
    <n v="1200.3399999999999"/>
    <s v="Credit Card"/>
    <d v="2021-10-09T00:00:00"/>
    <x v="6"/>
  </r>
  <r>
    <s v="I102513"/>
    <s v="C317824"/>
    <x v="0"/>
    <n v="61"/>
    <x v="0"/>
    <x v="0"/>
    <n v="3"/>
    <n v="900.24"/>
    <s v="Credit Card"/>
    <d v="2022-10-16T00:00:00"/>
    <x v="9"/>
  </r>
  <r>
    <s v="I102514"/>
    <s v="C310453"/>
    <x v="1"/>
    <n v="46"/>
    <x v="1"/>
    <x v="4"/>
    <n v="5"/>
    <n v="26.15"/>
    <s v="Debit Card"/>
    <d v="2021-01-16T00:00:00"/>
    <x v="5"/>
  </r>
  <r>
    <s v="I102518"/>
    <s v="C904918"/>
    <x v="1"/>
    <n v="46"/>
    <x v="1"/>
    <x v="5"/>
    <n v="1"/>
    <n v="600.16999999999996"/>
    <s v="Credit Card"/>
    <d v="2021-06-22T00:00:00"/>
    <x v="5"/>
  </r>
  <r>
    <s v="I102520"/>
    <s v="C531894"/>
    <x v="1"/>
    <n v="33"/>
    <x v="2"/>
    <x v="2"/>
    <n v="4"/>
    <n v="60.6"/>
    <s v="Credit Card"/>
    <d v="2021-01-22T00:00:00"/>
    <x v="0"/>
  </r>
  <r>
    <s v="I102521"/>
    <s v="C314327"/>
    <x v="1"/>
    <n v="23"/>
    <x v="3"/>
    <x v="4"/>
    <n v="2"/>
    <n v="10.46"/>
    <s v="Credit Card"/>
    <d v="2021-08-15T00:00:00"/>
    <x v="0"/>
  </r>
  <r>
    <s v="I102525"/>
    <s v="C240268"/>
    <x v="0"/>
    <n v="61"/>
    <x v="0"/>
    <x v="1"/>
    <n v="1"/>
    <n v="40.659999999999997"/>
    <s v="Cash"/>
    <d v="2022-01-16T00:00:00"/>
    <x v="5"/>
  </r>
  <r>
    <s v="I102526"/>
    <s v="C317197"/>
    <x v="0"/>
    <n v="33"/>
    <x v="2"/>
    <x v="1"/>
    <n v="3"/>
    <n v="121.98"/>
    <s v="Credit Card"/>
    <d v="2022-03-01T00:00:00"/>
    <x v="8"/>
  </r>
  <r>
    <s v="I102528"/>
    <s v="C279943"/>
    <x v="0"/>
    <n v="45"/>
    <x v="4"/>
    <x v="7"/>
    <n v="3"/>
    <n v="107.52"/>
    <s v="Debit Card"/>
    <d v="2022-06-23T00:00:00"/>
    <x v="1"/>
  </r>
  <r>
    <s v="I102533"/>
    <s v="C363843"/>
    <x v="1"/>
    <n v="25"/>
    <x v="3"/>
    <x v="0"/>
    <n v="3"/>
    <n v="900.24"/>
    <s v="Cash"/>
    <d v="2021-04-04T00:00:00"/>
    <x v="0"/>
  </r>
  <r>
    <s v="I102534"/>
    <s v="C522955"/>
    <x v="1"/>
    <n v="46"/>
    <x v="1"/>
    <x v="0"/>
    <n v="4"/>
    <n v="1200.32"/>
    <s v="Debit Card"/>
    <d v="2022-11-30T00:00:00"/>
    <x v="3"/>
  </r>
  <r>
    <s v="I102535"/>
    <s v="C194716"/>
    <x v="0"/>
    <n v="34"/>
    <x v="2"/>
    <x v="5"/>
    <n v="1"/>
    <n v="600.16999999999996"/>
    <s v="Cash"/>
    <d v="2021-02-20T00:00:00"/>
    <x v="7"/>
  </r>
  <r>
    <s v="I102541"/>
    <s v="C369611"/>
    <x v="1"/>
    <n v="55"/>
    <x v="1"/>
    <x v="1"/>
    <n v="3"/>
    <n v="121.98"/>
    <s v="Credit Card"/>
    <d v="2021-02-27T00:00:00"/>
    <x v="7"/>
  </r>
  <r>
    <s v="I102542"/>
    <s v="C860947"/>
    <x v="1"/>
    <n v="34"/>
    <x v="2"/>
    <x v="0"/>
    <n v="2"/>
    <n v="600.16"/>
    <s v="Credit Card"/>
    <d v="2021-04-12T00:00:00"/>
    <x v="2"/>
  </r>
  <r>
    <s v="I102543"/>
    <s v="C252688"/>
    <x v="1"/>
    <n v="22"/>
    <x v="3"/>
    <x v="6"/>
    <n v="2"/>
    <n v="23.46"/>
    <s v="Credit Card"/>
    <d v="2021-03-05T00:00:00"/>
    <x v="5"/>
  </r>
  <r>
    <s v="I102546"/>
    <s v="C307847"/>
    <x v="1"/>
    <n v="30"/>
    <x v="2"/>
    <x v="5"/>
    <n v="2"/>
    <n v="1200.3399999999999"/>
    <s v="Cash"/>
    <d v="2021-10-06T00:00:00"/>
    <x v="7"/>
  </r>
  <r>
    <s v="I102547"/>
    <s v="C941147"/>
    <x v="1"/>
    <n v="62"/>
    <x v="0"/>
    <x v="0"/>
    <n v="2"/>
    <n v="600.16"/>
    <s v="Debit Card"/>
    <d v="2021-06-20T00:00:00"/>
    <x v="4"/>
  </r>
  <r>
    <s v="I102553"/>
    <s v="C153282"/>
    <x v="0"/>
    <n v="45"/>
    <x v="4"/>
    <x v="7"/>
    <n v="4"/>
    <n v="143.36000000000001"/>
    <s v="Cash"/>
    <d v="2022-05-12T00:00:00"/>
    <x v="3"/>
  </r>
  <r>
    <s v="I102556"/>
    <s v="C315965"/>
    <x v="0"/>
    <n v="26"/>
    <x v="2"/>
    <x v="0"/>
    <n v="1"/>
    <n v="300.08"/>
    <s v="Cash"/>
    <d v="2023-01-16T00:00:00"/>
    <x v="5"/>
  </r>
  <r>
    <s v="I102558"/>
    <s v="C153506"/>
    <x v="1"/>
    <n v="30"/>
    <x v="2"/>
    <x v="0"/>
    <n v="5"/>
    <n v="1500.4"/>
    <s v="Debit Card"/>
    <d v="2021-09-14T00:00:00"/>
    <x v="7"/>
  </r>
  <r>
    <s v="I102559"/>
    <s v="C839296"/>
    <x v="1"/>
    <n v="31"/>
    <x v="2"/>
    <x v="2"/>
    <n v="4"/>
    <n v="60.6"/>
    <s v="Cash"/>
    <d v="2022-02-23T00:00:00"/>
    <x v="2"/>
  </r>
  <r>
    <s v="I102561"/>
    <s v="C220525"/>
    <x v="0"/>
    <n v="63"/>
    <x v="0"/>
    <x v="0"/>
    <n v="3"/>
    <n v="900.24"/>
    <s v="Credit Card"/>
    <d v="2021-10-27T00:00:00"/>
    <x v="3"/>
  </r>
  <r>
    <s v="I102562"/>
    <s v="C272836"/>
    <x v="1"/>
    <n v="48"/>
    <x v="1"/>
    <x v="7"/>
    <n v="5"/>
    <n v="179.2"/>
    <s v="Cash"/>
    <d v="2022-09-16T00:00:00"/>
    <x v="2"/>
  </r>
  <r>
    <s v="I102564"/>
    <s v="C152318"/>
    <x v="1"/>
    <n v="49"/>
    <x v="1"/>
    <x v="0"/>
    <n v="5"/>
    <n v="1500.4"/>
    <s v="Cash"/>
    <d v="2021-06-13T00:00:00"/>
    <x v="3"/>
  </r>
  <r>
    <s v="I102567"/>
    <s v="C441192"/>
    <x v="1"/>
    <n v="21"/>
    <x v="3"/>
    <x v="0"/>
    <n v="1"/>
    <n v="300.08"/>
    <s v="Credit Card"/>
    <d v="2023-03-06T00:00:00"/>
    <x v="5"/>
  </r>
  <r>
    <s v="I102569"/>
    <s v="C162413"/>
    <x v="0"/>
    <n v="43"/>
    <x v="4"/>
    <x v="1"/>
    <n v="4"/>
    <n v="162.63999999999999"/>
    <s v="Credit Card"/>
    <d v="2022-11-24T00:00:00"/>
    <x v="4"/>
  </r>
  <r>
    <s v="I102573"/>
    <s v="C602990"/>
    <x v="1"/>
    <n v="62"/>
    <x v="0"/>
    <x v="5"/>
    <n v="2"/>
    <n v="1200.3399999999999"/>
    <s v="Cash"/>
    <d v="2022-08-23T00:00:00"/>
    <x v="2"/>
  </r>
  <r>
    <s v="I102578"/>
    <s v="C207183"/>
    <x v="1"/>
    <n v="36"/>
    <x v="4"/>
    <x v="0"/>
    <n v="3"/>
    <n v="900.24"/>
    <s v="Cash"/>
    <d v="2021-02-22T00:00:00"/>
    <x v="3"/>
  </r>
  <r>
    <s v="I102587"/>
    <s v="C255931"/>
    <x v="1"/>
    <n v="32"/>
    <x v="2"/>
    <x v="4"/>
    <n v="2"/>
    <n v="10.46"/>
    <s v="Cash"/>
    <d v="2023-01-02T00:00:00"/>
    <x v="5"/>
  </r>
  <r>
    <s v="I102589"/>
    <s v="C770363"/>
    <x v="0"/>
    <n v="44"/>
    <x v="4"/>
    <x v="0"/>
    <n v="3"/>
    <n v="900.24"/>
    <s v="Debit Card"/>
    <d v="2022-10-27T00:00:00"/>
    <x v="8"/>
  </r>
  <r>
    <s v="I102595"/>
    <s v="C256607"/>
    <x v="1"/>
    <n v="48"/>
    <x v="1"/>
    <x v="4"/>
    <n v="2"/>
    <n v="10.46"/>
    <s v="Cash"/>
    <d v="2021-08-09T00:00:00"/>
    <x v="3"/>
  </r>
  <r>
    <s v="I102600"/>
    <s v="C425591"/>
    <x v="0"/>
    <n v="48"/>
    <x v="1"/>
    <x v="0"/>
    <n v="1"/>
    <n v="300.08"/>
    <s v="Credit Card"/>
    <d v="2022-05-13T00:00:00"/>
    <x v="2"/>
  </r>
  <r>
    <s v="I102604"/>
    <s v="C286659"/>
    <x v="0"/>
    <n v="26"/>
    <x v="2"/>
    <x v="5"/>
    <n v="3"/>
    <n v="1800.51"/>
    <s v="Cash"/>
    <d v="2021-07-03T00:00:00"/>
    <x v="2"/>
  </r>
  <r>
    <s v="I102607"/>
    <s v="C905205"/>
    <x v="1"/>
    <n v="65"/>
    <x v="0"/>
    <x v="5"/>
    <n v="4"/>
    <n v="2400.6799999999998"/>
    <s v="Credit Card"/>
    <d v="2021-03-28T00:00:00"/>
    <x v="7"/>
  </r>
  <r>
    <s v="I102610"/>
    <s v="C167297"/>
    <x v="1"/>
    <n v="37"/>
    <x v="4"/>
    <x v="4"/>
    <n v="3"/>
    <n v="15.69"/>
    <s v="Credit Card"/>
    <d v="2022-03-24T00:00:00"/>
    <x v="9"/>
  </r>
  <r>
    <s v="I102612"/>
    <s v="C210929"/>
    <x v="1"/>
    <n v="66"/>
    <x v="0"/>
    <x v="0"/>
    <n v="2"/>
    <n v="600.16"/>
    <s v="Credit Card"/>
    <d v="2022-09-29T00:00:00"/>
    <x v="2"/>
  </r>
  <r>
    <s v="I102613"/>
    <s v="C602495"/>
    <x v="1"/>
    <n v="50"/>
    <x v="1"/>
    <x v="5"/>
    <n v="1"/>
    <n v="600.16999999999996"/>
    <s v="Cash"/>
    <d v="2021-05-26T00:00:00"/>
    <x v="9"/>
  </r>
  <r>
    <s v="I102619"/>
    <s v="C279714"/>
    <x v="1"/>
    <n v="23"/>
    <x v="3"/>
    <x v="0"/>
    <n v="2"/>
    <n v="600.16"/>
    <s v="Credit Card"/>
    <d v="2022-05-12T00:00:00"/>
    <x v="3"/>
  </r>
  <r>
    <s v="I102623"/>
    <s v="C191191"/>
    <x v="0"/>
    <n v="58"/>
    <x v="1"/>
    <x v="1"/>
    <n v="4"/>
    <n v="162.63999999999999"/>
    <s v="Credit Card"/>
    <d v="2022-08-27T00:00:00"/>
    <x v="4"/>
  </r>
  <r>
    <s v="I102625"/>
    <s v="C305261"/>
    <x v="0"/>
    <n v="26"/>
    <x v="2"/>
    <x v="5"/>
    <n v="2"/>
    <n v="1200.3399999999999"/>
    <s v="Cash"/>
    <d v="2021-05-28T00:00:00"/>
    <x v="4"/>
  </r>
  <r>
    <s v="I102628"/>
    <s v="C800190"/>
    <x v="0"/>
    <n v="31"/>
    <x v="2"/>
    <x v="0"/>
    <n v="1"/>
    <n v="300.08"/>
    <s v="Credit Card"/>
    <d v="2022-12-01T00:00:00"/>
    <x v="8"/>
  </r>
  <r>
    <s v="I102629"/>
    <s v="C103453"/>
    <x v="0"/>
    <n v="46"/>
    <x v="1"/>
    <x v="0"/>
    <n v="5"/>
    <n v="1500.4"/>
    <s v="Credit Card"/>
    <d v="2021-03-28T00:00:00"/>
    <x v="2"/>
  </r>
  <r>
    <s v="I102632"/>
    <s v="C247827"/>
    <x v="0"/>
    <n v="55"/>
    <x v="1"/>
    <x v="0"/>
    <n v="1"/>
    <n v="300.08"/>
    <s v="Credit Card"/>
    <d v="2023-03-02T00:00:00"/>
    <x v="5"/>
  </r>
  <r>
    <s v="I102634"/>
    <s v="C205293"/>
    <x v="0"/>
    <n v="20"/>
    <x v="3"/>
    <x v="0"/>
    <n v="3"/>
    <n v="900.24"/>
    <s v="Credit Card"/>
    <d v="2023-02-18T00:00:00"/>
    <x v="6"/>
  </r>
  <r>
    <s v="I102635"/>
    <s v="C162707"/>
    <x v="1"/>
    <n v="50"/>
    <x v="1"/>
    <x v="0"/>
    <n v="4"/>
    <n v="1200.32"/>
    <s v="Cash"/>
    <d v="2021-01-13T00:00:00"/>
    <x v="0"/>
  </r>
  <r>
    <s v="I102636"/>
    <s v="C988123"/>
    <x v="0"/>
    <n v="67"/>
    <x v="0"/>
    <x v="1"/>
    <n v="3"/>
    <n v="121.98"/>
    <s v="Cash"/>
    <d v="2021-01-02T00:00:00"/>
    <x v="5"/>
  </r>
  <r>
    <s v="I102641"/>
    <s v="C148509"/>
    <x v="0"/>
    <n v="52"/>
    <x v="1"/>
    <x v="1"/>
    <n v="4"/>
    <n v="162.63999999999999"/>
    <s v="Credit Card"/>
    <d v="2022-06-23T00:00:00"/>
    <x v="2"/>
  </r>
  <r>
    <s v="I102642"/>
    <s v="C626080"/>
    <x v="0"/>
    <n v="43"/>
    <x v="4"/>
    <x v="5"/>
    <n v="2"/>
    <n v="1200.3399999999999"/>
    <s v="Credit Card"/>
    <d v="2023-02-01T00:00:00"/>
    <x v="1"/>
  </r>
  <r>
    <s v="I102645"/>
    <s v="C156538"/>
    <x v="0"/>
    <n v="46"/>
    <x v="1"/>
    <x v="2"/>
    <n v="1"/>
    <n v="15.15"/>
    <s v="Credit Card"/>
    <d v="2021-10-14T00:00:00"/>
    <x v="5"/>
  </r>
  <r>
    <s v="I102647"/>
    <s v="C208778"/>
    <x v="1"/>
    <n v="35"/>
    <x v="2"/>
    <x v="1"/>
    <n v="5"/>
    <n v="203.3"/>
    <s v="Cash"/>
    <d v="2021-11-21T00:00:00"/>
    <x v="4"/>
  </r>
  <r>
    <s v="I102652"/>
    <s v="C134226"/>
    <x v="1"/>
    <n v="67"/>
    <x v="0"/>
    <x v="0"/>
    <n v="1"/>
    <n v="300.08"/>
    <s v="Cash"/>
    <d v="2021-08-15T00:00:00"/>
    <x v="7"/>
  </r>
  <r>
    <s v="I102653"/>
    <s v="C144135"/>
    <x v="1"/>
    <n v="33"/>
    <x v="2"/>
    <x v="0"/>
    <n v="1"/>
    <n v="300.08"/>
    <s v="Cash"/>
    <d v="2021-10-20T00:00:00"/>
    <x v="5"/>
  </r>
  <r>
    <s v="I102656"/>
    <s v="C317978"/>
    <x v="0"/>
    <n v="43"/>
    <x v="4"/>
    <x v="2"/>
    <n v="5"/>
    <n v="75.75"/>
    <s v="Credit Card"/>
    <d v="2021-07-20T00:00:00"/>
    <x v="3"/>
  </r>
  <r>
    <s v="I102666"/>
    <s v="C114925"/>
    <x v="0"/>
    <n v="66"/>
    <x v="0"/>
    <x v="5"/>
    <n v="5"/>
    <n v="3000.85"/>
    <s v="Cash"/>
    <d v="2022-01-03T00:00:00"/>
    <x v="2"/>
  </r>
  <r>
    <s v="I102669"/>
    <s v="C172671"/>
    <x v="0"/>
    <n v="40"/>
    <x v="4"/>
    <x v="0"/>
    <n v="1"/>
    <n v="300.08"/>
    <s v="Credit Card"/>
    <d v="2021-11-12T00:00:00"/>
    <x v="5"/>
  </r>
  <r>
    <s v="I102675"/>
    <s v="C936544"/>
    <x v="1"/>
    <n v="45"/>
    <x v="4"/>
    <x v="4"/>
    <n v="2"/>
    <n v="10.46"/>
    <s v="Cash"/>
    <d v="2021-12-27T00:00:00"/>
    <x v="9"/>
  </r>
  <r>
    <s v="I102677"/>
    <s v="C149751"/>
    <x v="0"/>
    <n v="20"/>
    <x v="3"/>
    <x v="5"/>
    <n v="3"/>
    <n v="1800.51"/>
    <s v="Credit Card"/>
    <d v="2022-04-05T00:00:00"/>
    <x v="0"/>
  </r>
  <r>
    <s v="I102681"/>
    <s v="C298900"/>
    <x v="1"/>
    <n v="19"/>
    <x v="3"/>
    <x v="0"/>
    <n v="1"/>
    <n v="300.08"/>
    <s v="Credit Card"/>
    <d v="2022-09-24T00:00:00"/>
    <x v="3"/>
  </r>
  <r>
    <s v="I102686"/>
    <s v="C128656"/>
    <x v="1"/>
    <n v="41"/>
    <x v="4"/>
    <x v="0"/>
    <n v="3"/>
    <n v="900.24"/>
    <s v="Credit Card"/>
    <d v="2022-11-27T00:00:00"/>
    <x v="5"/>
  </r>
  <r>
    <s v="I102690"/>
    <s v="C177682"/>
    <x v="0"/>
    <n v="59"/>
    <x v="1"/>
    <x v="1"/>
    <n v="3"/>
    <n v="121.98"/>
    <s v="Debit Card"/>
    <d v="2022-11-07T00:00:00"/>
    <x v="2"/>
  </r>
  <r>
    <s v="I102691"/>
    <s v="C253781"/>
    <x v="1"/>
    <n v="35"/>
    <x v="2"/>
    <x v="6"/>
    <n v="3"/>
    <n v="35.19"/>
    <s v="Credit Card"/>
    <d v="2021-10-06T00:00:00"/>
    <x v="7"/>
  </r>
  <r>
    <s v="I102692"/>
    <s v="C340001"/>
    <x v="1"/>
    <n v="65"/>
    <x v="0"/>
    <x v="4"/>
    <n v="2"/>
    <n v="10.46"/>
    <s v="Cash"/>
    <d v="2021-04-25T00:00:00"/>
    <x v="2"/>
  </r>
  <r>
    <s v="I102694"/>
    <s v="C782676"/>
    <x v="1"/>
    <n v="65"/>
    <x v="0"/>
    <x v="5"/>
    <n v="5"/>
    <n v="3000.85"/>
    <s v="Cash"/>
    <d v="2021-07-19T00:00:00"/>
    <x v="2"/>
  </r>
  <r>
    <s v="I102697"/>
    <s v="C232551"/>
    <x v="0"/>
    <n v="54"/>
    <x v="1"/>
    <x v="0"/>
    <n v="2"/>
    <n v="600.16"/>
    <s v="Debit Card"/>
    <d v="2022-06-08T00:00:00"/>
    <x v="3"/>
  </r>
  <r>
    <s v="I102700"/>
    <s v="C378568"/>
    <x v="1"/>
    <n v="57"/>
    <x v="1"/>
    <x v="0"/>
    <n v="4"/>
    <n v="1200.32"/>
    <s v="Cash"/>
    <d v="2021-01-25T00:00:00"/>
    <x v="2"/>
  </r>
  <r>
    <s v="I102703"/>
    <s v="C110600"/>
    <x v="1"/>
    <n v="40"/>
    <x v="4"/>
    <x v="3"/>
    <n v="5"/>
    <n v="5250"/>
    <s v="Credit Card"/>
    <d v="2022-10-11T00:00:00"/>
    <x v="2"/>
  </r>
  <r>
    <s v="I102713"/>
    <s v="C259637"/>
    <x v="1"/>
    <n v="27"/>
    <x v="2"/>
    <x v="5"/>
    <n v="1"/>
    <n v="600.16999999999996"/>
    <s v="Cash"/>
    <d v="2022-05-26T00:00:00"/>
    <x v="3"/>
  </r>
  <r>
    <s v="I102714"/>
    <s v="C182058"/>
    <x v="1"/>
    <n v="63"/>
    <x v="0"/>
    <x v="0"/>
    <n v="3"/>
    <n v="900.24"/>
    <s v="Debit Card"/>
    <d v="2021-03-04T00:00:00"/>
    <x v="2"/>
  </r>
  <r>
    <s v="I102715"/>
    <s v="C837237"/>
    <x v="0"/>
    <n v="41"/>
    <x v="4"/>
    <x v="0"/>
    <n v="3"/>
    <n v="900.24"/>
    <s v="Debit Card"/>
    <d v="2022-10-20T00:00:00"/>
    <x v="9"/>
  </r>
  <r>
    <s v="I102716"/>
    <s v="C231411"/>
    <x v="1"/>
    <n v="27"/>
    <x v="2"/>
    <x v="7"/>
    <n v="3"/>
    <n v="107.52"/>
    <s v="Credit Card"/>
    <d v="2022-11-15T00:00:00"/>
    <x v="3"/>
  </r>
  <r>
    <s v="I102719"/>
    <s v="C480086"/>
    <x v="1"/>
    <n v="45"/>
    <x v="4"/>
    <x v="3"/>
    <n v="1"/>
    <n v="1050"/>
    <s v="Cash"/>
    <d v="2021-04-24T00:00:00"/>
    <x v="2"/>
  </r>
  <r>
    <s v="I102721"/>
    <s v="C102359"/>
    <x v="0"/>
    <n v="57"/>
    <x v="1"/>
    <x v="7"/>
    <n v="3"/>
    <n v="107.52"/>
    <s v="Credit Card"/>
    <d v="2022-07-09T00:00:00"/>
    <x v="3"/>
  </r>
  <r>
    <s v="I102725"/>
    <s v="C385326"/>
    <x v="1"/>
    <n v="54"/>
    <x v="1"/>
    <x v="7"/>
    <n v="5"/>
    <n v="179.2"/>
    <s v="Cash"/>
    <d v="2022-09-16T00:00:00"/>
    <x v="3"/>
  </r>
  <r>
    <s v="I102726"/>
    <s v="C444281"/>
    <x v="1"/>
    <n v="66"/>
    <x v="0"/>
    <x v="0"/>
    <n v="2"/>
    <n v="600.16"/>
    <s v="Credit Card"/>
    <d v="2023-01-08T00:00:00"/>
    <x v="8"/>
  </r>
  <r>
    <s v="I102729"/>
    <s v="C216936"/>
    <x v="1"/>
    <n v="44"/>
    <x v="4"/>
    <x v="0"/>
    <n v="1"/>
    <n v="300.08"/>
    <s v="Credit Card"/>
    <d v="2021-01-03T00:00:00"/>
    <x v="3"/>
  </r>
  <r>
    <s v="I102730"/>
    <s v="C181990"/>
    <x v="0"/>
    <n v="57"/>
    <x v="1"/>
    <x v="3"/>
    <n v="4"/>
    <n v="4200"/>
    <s v="Cash"/>
    <d v="2022-07-11T00:00:00"/>
    <x v="2"/>
  </r>
  <r>
    <s v="I102732"/>
    <s v="C719232"/>
    <x v="0"/>
    <n v="50"/>
    <x v="1"/>
    <x v="0"/>
    <n v="5"/>
    <n v="1500.4"/>
    <s v="Cash"/>
    <d v="2021-09-24T00:00:00"/>
    <x v="4"/>
  </r>
  <r>
    <s v="I102734"/>
    <s v="C134006"/>
    <x v="1"/>
    <n v="48"/>
    <x v="1"/>
    <x v="0"/>
    <n v="5"/>
    <n v="1500.4"/>
    <s v="Debit Card"/>
    <d v="2021-06-08T00:00:00"/>
    <x v="3"/>
  </r>
  <r>
    <s v="I102735"/>
    <s v="C662013"/>
    <x v="1"/>
    <n v="55"/>
    <x v="1"/>
    <x v="5"/>
    <n v="4"/>
    <n v="2400.6799999999998"/>
    <s v="Debit Card"/>
    <d v="2023-02-22T00:00:00"/>
    <x v="4"/>
  </r>
  <r>
    <s v="I102737"/>
    <s v="C112982"/>
    <x v="1"/>
    <n v="68"/>
    <x v="0"/>
    <x v="3"/>
    <n v="3"/>
    <n v="3150"/>
    <s v="Cash"/>
    <d v="2022-08-09T00:00:00"/>
    <x v="2"/>
  </r>
  <r>
    <s v="I102751"/>
    <s v="C224224"/>
    <x v="1"/>
    <n v="67"/>
    <x v="0"/>
    <x v="3"/>
    <n v="2"/>
    <n v="2100"/>
    <s v="Credit Card"/>
    <d v="2022-09-28T00:00:00"/>
    <x v="3"/>
  </r>
  <r>
    <s v="I102754"/>
    <s v="C760072"/>
    <x v="1"/>
    <n v="58"/>
    <x v="1"/>
    <x v="5"/>
    <n v="2"/>
    <n v="1200.3399999999999"/>
    <s v="Cash"/>
    <d v="2021-09-13T00:00:00"/>
    <x v="0"/>
  </r>
  <r>
    <s v="I102758"/>
    <s v="C778349"/>
    <x v="1"/>
    <n v="35"/>
    <x v="2"/>
    <x v="4"/>
    <n v="1"/>
    <n v="5.23"/>
    <s v="Cash"/>
    <d v="2022-12-01T00:00:00"/>
    <x v="7"/>
  </r>
  <r>
    <s v="I102759"/>
    <s v="C174415"/>
    <x v="1"/>
    <n v="28"/>
    <x v="2"/>
    <x v="0"/>
    <n v="2"/>
    <n v="600.16"/>
    <s v="Credit Card"/>
    <d v="2022-03-26T00:00:00"/>
    <x v="2"/>
  </r>
  <r>
    <s v="I102760"/>
    <s v="C158547"/>
    <x v="1"/>
    <n v="64"/>
    <x v="0"/>
    <x v="4"/>
    <n v="1"/>
    <n v="5.23"/>
    <s v="Credit Card"/>
    <d v="2021-09-02T00:00:00"/>
    <x v="1"/>
  </r>
  <r>
    <s v="I102761"/>
    <s v="C333330"/>
    <x v="1"/>
    <n v="23"/>
    <x v="3"/>
    <x v="1"/>
    <n v="1"/>
    <n v="40.659999999999997"/>
    <s v="Cash"/>
    <d v="2021-03-19T00:00:00"/>
    <x v="2"/>
  </r>
  <r>
    <s v="I102764"/>
    <s v="C102832"/>
    <x v="1"/>
    <n v="41"/>
    <x v="4"/>
    <x v="0"/>
    <n v="3"/>
    <n v="900.24"/>
    <s v="Credit Card"/>
    <d v="2022-08-19T00:00:00"/>
    <x v="7"/>
  </r>
  <r>
    <s v="I102766"/>
    <s v="C200431"/>
    <x v="0"/>
    <n v="40"/>
    <x v="4"/>
    <x v="2"/>
    <n v="2"/>
    <n v="30.3"/>
    <s v="Debit Card"/>
    <d v="2021-01-07T00:00:00"/>
    <x v="0"/>
  </r>
  <r>
    <s v="I102767"/>
    <s v="C203666"/>
    <x v="1"/>
    <n v="20"/>
    <x v="3"/>
    <x v="1"/>
    <n v="5"/>
    <n v="203.3"/>
    <s v="Credit Card"/>
    <d v="2022-01-07T00:00:00"/>
    <x v="1"/>
  </r>
  <r>
    <s v="I102773"/>
    <s v="C287506"/>
    <x v="1"/>
    <n v="35"/>
    <x v="2"/>
    <x v="1"/>
    <n v="1"/>
    <n v="40.659999999999997"/>
    <s v="Credit Card"/>
    <d v="2023-01-05T00:00:00"/>
    <x v="5"/>
  </r>
  <r>
    <s v="I102776"/>
    <s v="C214209"/>
    <x v="1"/>
    <n v="22"/>
    <x v="3"/>
    <x v="0"/>
    <n v="4"/>
    <n v="1200.32"/>
    <s v="Cash"/>
    <d v="2021-11-06T00:00:00"/>
    <x v="3"/>
  </r>
  <r>
    <s v="I102782"/>
    <s v="C105352"/>
    <x v="1"/>
    <n v="51"/>
    <x v="1"/>
    <x v="6"/>
    <n v="5"/>
    <n v="58.65"/>
    <s v="Cash"/>
    <d v="2021-11-01T00:00:00"/>
    <x v="2"/>
  </r>
  <r>
    <s v="I102783"/>
    <s v="C816576"/>
    <x v="1"/>
    <n v="56"/>
    <x v="1"/>
    <x v="4"/>
    <n v="1"/>
    <n v="5.23"/>
    <s v="Cash"/>
    <d v="2023-02-05T00:00:00"/>
    <x v="9"/>
  </r>
  <r>
    <s v="I102786"/>
    <s v="C969271"/>
    <x v="1"/>
    <n v="35"/>
    <x v="2"/>
    <x v="0"/>
    <n v="2"/>
    <n v="600.16"/>
    <s v="Cash"/>
    <d v="2022-06-29T00:00:00"/>
    <x v="0"/>
  </r>
  <r>
    <s v="I102790"/>
    <s v="C193288"/>
    <x v="1"/>
    <n v="21"/>
    <x v="3"/>
    <x v="0"/>
    <n v="5"/>
    <n v="1500.4"/>
    <s v="Debit Card"/>
    <d v="2022-07-20T00:00:00"/>
    <x v="8"/>
  </r>
  <r>
    <s v="I102792"/>
    <s v="C766287"/>
    <x v="0"/>
    <n v="35"/>
    <x v="2"/>
    <x v="6"/>
    <n v="1"/>
    <n v="11.73"/>
    <s v="Credit Card"/>
    <d v="2022-07-17T00:00:00"/>
    <x v="5"/>
  </r>
  <r>
    <s v="I102797"/>
    <s v="C129206"/>
    <x v="0"/>
    <n v="52"/>
    <x v="1"/>
    <x v="1"/>
    <n v="2"/>
    <n v="81.319999999999993"/>
    <s v="Credit Card"/>
    <d v="2023-01-12T00:00:00"/>
    <x v="2"/>
  </r>
  <r>
    <s v="I102799"/>
    <s v="C704920"/>
    <x v="0"/>
    <n v="33"/>
    <x v="2"/>
    <x v="5"/>
    <n v="5"/>
    <n v="3000.85"/>
    <s v="Debit Card"/>
    <d v="2021-04-20T00:00:00"/>
    <x v="1"/>
  </r>
  <r>
    <s v="I102800"/>
    <s v="C211156"/>
    <x v="1"/>
    <n v="40"/>
    <x v="4"/>
    <x v="5"/>
    <n v="1"/>
    <n v="600.16999999999996"/>
    <s v="Credit Card"/>
    <d v="2022-01-02T00:00:00"/>
    <x v="1"/>
  </r>
  <r>
    <s v="I102801"/>
    <s v="C288748"/>
    <x v="1"/>
    <n v="69"/>
    <x v="0"/>
    <x v="0"/>
    <n v="1"/>
    <n v="300.08"/>
    <s v="Credit Card"/>
    <d v="2022-05-01T00:00:00"/>
    <x v="3"/>
  </r>
  <r>
    <s v="I102802"/>
    <s v="C107887"/>
    <x v="1"/>
    <n v="22"/>
    <x v="3"/>
    <x v="6"/>
    <n v="3"/>
    <n v="35.19"/>
    <s v="Debit Card"/>
    <d v="2021-07-24T00:00:00"/>
    <x v="4"/>
  </r>
  <r>
    <s v="I102818"/>
    <s v="C156505"/>
    <x v="0"/>
    <n v="57"/>
    <x v="1"/>
    <x v="7"/>
    <n v="1"/>
    <n v="35.840000000000003"/>
    <s v="Credit Card"/>
    <d v="2021-01-12T00:00:00"/>
    <x v="0"/>
  </r>
  <r>
    <s v="I102819"/>
    <s v="C309720"/>
    <x v="0"/>
    <n v="53"/>
    <x v="1"/>
    <x v="4"/>
    <n v="2"/>
    <n v="10.46"/>
    <s v="Cash"/>
    <d v="2022-10-26T00:00:00"/>
    <x v="4"/>
  </r>
  <r>
    <s v="I102824"/>
    <s v="C194938"/>
    <x v="0"/>
    <n v="27"/>
    <x v="2"/>
    <x v="0"/>
    <n v="5"/>
    <n v="1500.4"/>
    <s v="Debit Card"/>
    <d v="2022-11-12T00:00:00"/>
    <x v="9"/>
  </r>
  <r>
    <s v="I102825"/>
    <s v="C150885"/>
    <x v="1"/>
    <n v="65"/>
    <x v="0"/>
    <x v="0"/>
    <n v="4"/>
    <n v="1200.32"/>
    <s v="Cash"/>
    <d v="2022-09-01T00:00:00"/>
    <x v="3"/>
  </r>
  <r>
    <s v="I102832"/>
    <s v="C146777"/>
    <x v="1"/>
    <n v="40"/>
    <x v="4"/>
    <x v="5"/>
    <n v="2"/>
    <n v="1200.3399999999999"/>
    <s v="Cash"/>
    <d v="2022-06-20T00:00:00"/>
    <x v="9"/>
  </r>
  <r>
    <s v="I102836"/>
    <s v="C279148"/>
    <x v="0"/>
    <n v="64"/>
    <x v="0"/>
    <x v="2"/>
    <n v="3"/>
    <n v="45.45"/>
    <s v="Debit Card"/>
    <d v="2022-03-07T00:00:00"/>
    <x v="2"/>
  </r>
  <r>
    <s v="I102837"/>
    <s v="C320088"/>
    <x v="1"/>
    <n v="21"/>
    <x v="3"/>
    <x v="0"/>
    <n v="3"/>
    <n v="900.24"/>
    <s v="Cash"/>
    <d v="2021-11-27T00:00:00"/>
    <x v="5"/>
  </r>
  <r>
    <s v="I102840"/>
    <s v="C161257"/>
    <x v="1"/>
    <n v="39"/>
    <x v="4"/>
    <x v="7"/>
    <n v="4"/>
    <n v="143.36000000000001"/>
    <s v="Debit Card"/>
    <d v="2021-05-27T00:00:00"/>
    <x v="7"/>
  </r>
  <r>
    <s v="I102843"/>
    <s v="C235737"/>
    <x v="1"/>
    <n v="48"/>
    <x v="1"/>
    <x v="4"/>
    <n v="5"/>
    <n v="26.15"/>
    <s v="Cash"/>
    <d v="2021-11-01T00:00:00"/>
    <x v="3"/>
  </r>
  <r>
    <s v="I102845"/>
    <s v="C175442"/>
    <x v="1"/>
    <n v="41"/>
    <x v="4"/>
    <x v="6"/>
    <n v="4"/>
    <n v="46.92"/>
    <s v="Cash"/>
    <d v="2023-03-05T00:00:00"/>
    <x v="3"/>
  </r>
  <r>
    <s v="I102847"/>
    <s v="C123536"/>
    <x v="0"/>
    <n v="51"/>
    <x v="1"/>
    <x v="6"/>
    <n v="3"/>
    <n v="35.19"/>
    <s v="Debit Card"/>
    <d v="2022-03-09T00:00:00"/>
    <x v="5"/>
  </r>
  <r>
    <s v="I102848"/>
    <s v="C252901"/>
    <x v="1"/>
    <n v="59"/>
    <x v="1"/>
    <x v="5"/>
    <n v="1"/>
    <n v="600.16999999999996"/>
    <s v="Debit Card"/>
    <d v="2021-01-13T00:00:00"/>
    <x v="5"/>
  </r>
  <r>
    <s v="I102849"/>
    <s v="C251633"/>
    <x v="1"/>
    <n v="69"/>
    <x v="0"/>
    <x v="0"/>
    <n v="4"/>
    <n v="1200.32"/>
    <s v="Credit Card"/>
    <d v="2021-03-04T00:00:00"/>
    <x v="2"/>
  </r>
  <r>
    <s v="I102855"/>
    <s v="C159521"/>
    <x v="1"/>
    <n v="19"/>
    <x v="3"/>
    <x v="0"/>
    <n v="2"/>
    <n v="600.16"/>
    <s v="Cash"/>
    <d v="2022-10-15T00:00:00"/>
    <x v="9"/>
  </r>
  <r>
    <s v="I102873"/>
    <s v="C994454"/>
    <x v="1"/>
    <n v="25"/>
    <x v="3"/>
    <x v="7"/>
    <n v="4"/>
    <n v="143.36000000000001"/>
    <s v="Credit Card"/>
    <d v="2022-08-24T00:00:00"/>
    <x v="2"/>
  </r>
  <r>
    <s v="I102876"/>
    <s v="C283599"/>
    <x v="1"/>
    <n v="18"/>
    <x v="3"/>
    <x v="1"/>
    <n v="3"/>
    <n v="121.98"/>
    <s v="Credit Card"/>
    <d v="2023-02-27T00:00:00"/>
    <x v="2"/>
  </r>
  <r>
    <s v="I102877"/>
    <s v="C505213"/>
    <x v="1"/>
    <n v="29"/>
    <x v="2"/>
    <x v="7"/>
    <n v="4"/>
    <n v="143.36000000000001"/>
    <s v="Cash"/>
    <d v="2022-11-25T00:00:00"/>
    <x v="7"/>
  </r>
  <r>
    <s v="I102879"/>
    <s v="C380202"/>
    <x v="1"/>
    <n v="26"/>
    <x v="2"/>
    <x v="4"/>
    <n v="4"/>
    <n v="20.92"/>
    <s v="Debit Card"/>
    <d v="2022-09-03T00:00:00"/>
    <x v="8"/>
  </r>
  <r>
    <s v="I102881"/>
    <s v="C482255"/>
    <x v="1"/>
    <n v="50"/>
    <x v="1"/>
    <x v="0"/>
    <n v="2"/>
    <n v="600.16"/>
    <s v="Cash"/>
    <d v="2021-09-21T00:00:00"/>
    <x v="2"/>
  </r>
  <r>
    <s v="I102883"/>
    <s v="C114509"/>
    <x v="1"/>
    <n v="22"/>
    <x v="3"/>
    <x v="4"/>
    <n v="5"/>
    <n v="26.15"/>
    <s v="Cash"/>
    <d v="2021-10-08T00:00:00"/>
    <x v="5"/>
  </r>
  <r>
    <s v="I102884"/>
    <s v="C121907"/>
    <x v="1"/>
    <n v="45"/>
    <x v="4"/>
    <x v="7"/>
    <n v="5"/>
    <n v="179.2"/>
    <s v="Credit Card"/>
    <d v="2021-03-22T00:00:00"/>
    <x v="3"/>
  </r>
  <r>
    <s v="I102885"/>
    <s v="C216254"/>
    <x v="0"/>
    <n v="42"/>
    <x v="4"/>
    <x v="4"/>
    <n v="5"/>
    <n v="26.15"/>
    <s v="Cash"/>
    <d v="2022-08-22T00:00:00"/>
    <x v="5"/>
  </r>
  <r>
    <s v="I102886"/>
    <s v="C896170"/>
    <x v="1"/>
    <n v="60"/>
    <x v="1"/>
    <x v="0"/>
    <n v="1"/>
    <n v="300.08"/>
    <s v="Credit Card"/>
    <d v="2022-07-07T00:00:00"/>
    <x v="6"/>
  </r>
  <r>
    <s v="I102893"/>
    <s v="C264654"/>
    <x v="0"/>
    <n v="66"/>
    <x v="0"/>
    <x v="1"/>
    <n v="5"/>
    <n v="203.3"/>
    <s v="Credit Card"/>
    <d v="2022-08-03T00:00:00"/>
    <x v="5"/>
  </r>
  <r>
    <s v="I102902"/>
    <s v="C603291"/>
    <x v="0"/>
    <n v="58"/>
    <x v="1"/>
    <x v="7"/>
    <n v="1"/>
    <n v="35.840000000000003"/>
    <s v="Cash"/>
    <d v="2022-11-28T00:00:00"/>
    <x v="1"/>
  </r>
  <r>
    <s v="I102905"/>
    <s v="C318145"/>
    <x v="1"/>
    <n v="42"/>
    <x v="4"/>
    <x v="4"/>
    <n v="5"/>
    <n v="26.15"/>
    <s v="Credit Card"/>
    <d v="2021-11-07T00:00:00"/>
    <x v="5"/>
  </r>
  <r>
    <s v="I102906"/>
    <s v="C219499"/>
    <x v="1"/>
    <n v="20"/>
    <x v="3"/>
    <x v="7"/>
    <n v="3"/>
    <n v="107.52"/>
    <s v="Cash"/>
    <d v="2021-10-16T00:00:00"/>
    <x v="5"/>
  </r>
  <r>
    <s v="I102917"/>
    <s v="C262929"/>
    <x v="0"/>
    <n v="59"/>
    <x v="1"/>
    <x v="0"/>
    <n v="3"/>
    <n v="900.24"/>
    <s v="Debit Card"/>
    <d v="2021-04-02T00:00:00"/>
    <x v="3"/>
  </r>
  <r>
    <s v="I102923"/>
    <s v="C148421"/>
    <x v="0"/>
    <n v="63"/>
    <x v="0"/>
    <x v="7"/>
    <n v="4"/>
    <n v="143.36000000000001"/>
    <s v="Debit Card"/>
    <d v="2022-09-21T00:00:00"/>
    <x v="7"/>
  </r>
  <r>
    <s v="I102925"/>
    <s v="C217020"/>
    <x v="1"/>
    <n v="27"/>
    <x v="2"/>
    <x v="1"/>
    <n v="5"/>
    <n v="203.3"/>
    <s v="Credit Card"/>
    <d v="2023-01-13T00:00:00"/>
    <x v="3"/>
  </r>
  <r>
    <s v="I102926"/>
    <s v="C319883"/>
    <x v="1"/>
    <n v="60"/>
    <x v="1"/>
    <x v="4"/>
    <n v="1"/>
    <n v="5.23"/>
    <s v="Cash"/>
    <d v="2022-08-06T00:00:00"/>
    <x v="8"/>
  </r>
  <r>
    <s v="I102928"/>
    <s v="C211300"/>
    <x v="0"/>
    <n v="60"/>
    <x v="1"/>
    <x v="1"/>
    <n v="1"/>
    <n v="40.659999999999997"/>
    <s v="Credit Card"/>
    <d v="2021-03-04T00:00:00"/>
    <x v="2"/>
  </r>
  <r>
    <s v="I102931"/>
    <s v="C318182"/>
    <x v="0"/>
    <n v="26"/>
    <x v="2"/>
    <x v="5"/>
    <n v="5"/>
    <n v="3000.85"/>
    <s v="Debit Card"/>
    <d v="2022-05-18T00:00:00"/>
    <x v="2"/>
  </r>
  <r>
    <s v="I102935"/>
    <s v="C184509"/>
    <x v="1"/>
    <n v="59"/>
    <x v="1"/>
    <x v="1"/>
    <n v="1"/>
    <n v="40.659999999999997"/>
    <s v="Cash"/>
    <d v="2021-06-16T00:00:00"/>
    <x v="2"/>
  </r>
  <r>
    <s v="I102939"/>
    <s v="C100110"/>
    <x v="1"/>
    <n v="28"/>
    <x v="2"/>
    <x v="0"/>
    <n v="5"/>
    <n v="1500.4"/>
    <s v="Credit Card"/>
    <d v="2022-05-01T00:00:00"/>
    <x v="3"/>
  </r>
  <r>
    <s v="I102941"/>
    <s v="C189039"/>
    <x v="1"/>
    <n v="45"/>
    <x v="4"/>
    <x v="1"/>
    <n v="2"/>
    <n v="81.319999999999993"/>
    <s v="Cash"/>
    <d v="2022-05-14T00:00:00"/>
    <x v="3"/>
  </r>
  <r>
    <s v="I102944"/>
    <s v="C105025"/>
    <x v="0"/>
    <n v="33"/>
    <x v="2"/>
    <x v="1"/>
    <n v="2"/>
    <n v="81.319999999999993"/>
    <s v="Cash"/>
    <d v="2021-12-03T00:00:00"/>
    <x v="6"/>
  </r>
  <r>
    <s v="I102945"/>
    <s v="C287896"/>
    <x v="1"/>
    <n v="34"/>
    <x v="2"/>
    <x v="0"/>
    <n v="1"/>
    <n v="300.08"/>
    <s v="Cash"/>
    <d v="2022-06-25T00:00:00"/>
    <x v="3"/>
  </r>
  <r>
    <s v="I102946"/>
    <s v="C182144"/>
    <x v="1"/>
    <n v="62"/>
    <x v="0"/>
    <x v="0"/>
    <n v="3"/>
    <n v="900.24"/>
    <s v="Cash"/>
    <d v="2022-11-30T00:00:00"/>
    <x v="1"/>
  </r>
  <r>
    <s v="I102954"/>
    <s v="C155342"/>
    <x v="0"/>
    <n v="30"/>
    <x v="2"/>
    <x v="4"/>
    <n v="4"/>
    <n v="20.92"/>
    <s v="Cash"/>
    <d v="2021-02-06T00:00:00"/>
    <x v="2"/>
  </r>
  <r>
    <s v="I102958"/>
    <s v="C332958"/>
    <x v="1"/>
    <n v="54"/>
    <x v="1"/>
    <x v="0"/>
    <n v="3"/>
    <n v="900.24"/>
    <s v="Credit Card"/>
    <d v="2022-11-02T00:00:00"/>
    <x v="9"/>
  </r>
  <r>
    <s v="I102960"/>
    <s v="C131004"/>
    <x v="1"/>
    <n v="34"/>
    <x v="2"/>
    <x v="3"/>
    <n v="3"/>
    <n v="3150"/>
    <s v="Credit Card"/>
    <d v="2021-01-25T00:00:00"/>
    <x v="2"/>
  </r>
  <r>
    <s v="I102964"/>
    <s v="C321846"/>
    <x v="1"/>
    <n v="69"/>
    <x v="0"/>
    <x v="5"/>
    <n v="2"/>
    <n v="1200.3399999999999"/>
    <s v="Cash"/>
    <d v="2021-04-23T00:00:00"/>
    <x v="1"/>
  </r>
  <r>
    <s v="I102969"/>
    <s v="C166525"/>
    <x v="1"/>
    <n v="62"/>
    <x v="0"/>
    <x v="1"/>
    <n v="2"/>
    <n v="81.319999999999993"/>
    <s v="Debit Card"/>
    <d v="2021-04-17T00:00:00"/>
    <x v="2"/>
  </r>
  <r>
    <s v="I102977"/>
    <s v="C316330"/>
    <x v="1"/>
    <n v="30"/>
    <x v="2"/>
    <x v="6"/>
    <n v="4"/>
    <n v="46.92"/>
    <s v="Credit Card"/>
    <d v="2022-10-30T00:00:00"/>
    <x v="7"/>
  </r>
  <r>
    <s v="I102979"/>
    <s v="C628682"/>
    <x v="1"/>
    <n v="35"/>
    <x v="2"/>
    <x v="6"/>
    <n v="3"/>
    <n v="35.19"/>
    <s v="Credit Card"/>
    <d v="2022-01-23T00:00:00"/>
    <x v="2"/>
  </r>
  <r>
    <s v="I102985"/>
    <s v="C191792"/>
    <x v="0"/>
    <n v="42"/>
    <x v="4"/>
    <x v="6"/>
    <n v="2"/>
    <n v="23.46"/>
    <s v="Debit Card"/>
    <d v="2021-06-01T00:00:00"/>
    <x v="2"/>
  </r>
  <r>
    <s v="I102989"/>
    <s v="C273531"/>
    <x v="1"/>
    <n v="67"/>
    <x v="0"/>
    <x v="5"/>
    <n v="2"/>
    <n v="1200.3399999999999"/>
    <s v="Cash"/>
    <d v="2021-03-01T00:00:00"/>
    <x v="8"/>
  </r>
  <r>
    <s v="I102990"/>
    <s v="C296573"/>
    <x v="0"/>
    <n v="22"/>
    <x v="3"/>
    <x v="5"/>
    <n v="5"/>
    <n v="3000.85"/>
    <s v="Credit Card"/>
    <d v="2022-07-20T00:00:00"/>
    <x v="5"/>
  </r>
  <r>
    <s v="I102991"/>
    <s v="C397967"/>
    <x v="1"/>
    <n v="28"/>
    <x v="2"/>
    <x v="2"/>
    <n v="3"/>
    <n v="45.45"/>
    <s v="Credit Card"/>
    <d v="2021-10-12T00:00:00"/>
    <x v="3"/>
  </r>
  <r>
    <s v="I102993"/>
    <s v="C142692"/>
    <x v="1"/>
    <n v="67"/>
    <x v="0"/>
    <x v="0"/>
    <n v="2"/>
    <n v="600.16"/>
    <s v="Credit Card"/>
    <d v="2022-11-21T00:00:00"/>
    <x v="6"/>
  </r>
  <r>
    <s v="I102994"/>
    <s v="C262644"/>
    <x v="1"/>
    <n v="69"/>
    <x v="0"/>
    <x v="5"/>
    <n v="3"/>
    <n v="1800.51"/>
    <s v="Debit Card"/>
    <d v="2022-01-11T00:00:00"/>
    <x v="2"/>
  </r>
  <r>
    <s v="I102999"/>
    <s v="C295992"/>
    <x v="0"/>
    <n v="34"/>
    <x v="2"/>
    <x v="7"/>
    <n v="3"/>
    <n v="107.52"/>
    <s v="Credit Card"/>
    <d v="2021-08-17T00:00:00"/>
    <x v="3"/>
  </r>
  <r>
    <s v="I103002"/>
    <s v="C245635"/>
    <x v="1"/>
    <n v="62"/>
    <x v="0"/>
    <x v="4"/>
    <n v="2"/>
    <n v="10.46"/>
    <s v="Credit Card"/>
    <d v="2021-07-03T00:00:00"/>
    <x v="1"/>
  </r>
  <r>
    <s v="I103004"/>
    <s v="C560575"/>
    <x v="0"/>
    <n v="33"/>
    <x v="2"/>
    <x v="4"/>
    <n v="1"/>
    <n v="5.23"/>
    <s v="Cash"/>
    <d v="2022-02-04T00:00:00"/>
    <x v="7"/>
  </r>
  <r>
    <s v="I103006"/>
    <s v="C258085"/>
    <x v="0"/>
    <n v="41"/>
    <x v="4"/>
    <x v="3"/>
    <n v="4"/>
    <n v="4200"/>
    <s v="Cash"/>
    <d v="2022-07-20T00:00:00"/>
    <x v="8"/>
  </r>
  <r>
    <s v="I103010"/>
    <s v="C260917"/>
    <x v="1"/>
    <n v="51"/>
    <x v="1"/>
    <x v="5"/>
    <n v="1"/>
    <n v="600.16999999999996"/>
    <s v="Cash"/>
    <d v="2021-08-02T00:00:00"/>
    <x v="3"/>
  </r>
  <r>
    <s v="I103014"/>
    <s v="C185481"/>
    <x v="1"/>
    <n v="57"/>
    <x v="1"/>
    <x v="0"/>
    <n v="4"/>
    <n v="1200.32"/>
    <s v="Debit Card"/>
    <d v="2022-07-03T00:00:00"/>
    <x v="9"/>
  </r>
  <r>
    <s v="I103016"/>
    <s v="C633152"/>
    <x v="1"/>
    <n v="60"/>
    <x v="1"/>
    <x v="0"/>
    <n v="4"/>
    <n v="1200.32"/>
    <s v="Credit Card"/>
    <d v="2021-07-12T00:00:00"/>
    <x v="6"/>
  </r>
  <r>
    <s v="I103019"/>
    <s v="C335724"/>
    <x v="0"/>
    <n v="60"/>
    <x v="1"/>
    <x v="5"/>
    <n v="2"/>
    <n v="1200.3399999999999"/>
    <s v="Cash"/>
    <d v="2022-10-14T00:00:00"/>
    <x v="6"/>
  </r>
  <r>
    <s v="I103020"/>
    <s v="C327792"/>
    <x v="1"/>
    <n v="27"/>
    <x v="2"/>
    <x v="2"/>
    <n v="4"/>
    <n v="60.6"/>
    <s v="Cash"/>
    <d v="2021-06-17T00:00:00"/>
    <x v="2"/>
  </r>
  <r>
    <s v="I103021"/>
    <s v="C325728"/>
    <x v="0"/>
    <n v="36"/>
    <x v="4"/>
    <x v="2"/>
    <n v="1"/>
    <n v="15.15"/>
    <s v="Debit Card"/>
    <d v="2023-02-25T00:00:00"/>
    <x v="2"/>
  </r>
  <r>
    <s v="I103026"/>
    <s v="C142823"/>
    <x v="1"/>
    <n v="64"/>
    <x v="0"/>
    <x v="5"/>
    <n v="1"/>
    <n v="600.16999999999996"/>
    <s v="Cash"/>
    <d v="2021-10-21T00:00:00"/>
    <x v="1"/>
  </r>
  <r>
    <s v="I103028"/>
    <s v="C243168"/>
    <x v="1"/>
    <n v="22"/>
    <x v="3"/>
    <x v="7"/>
    <n v="4"/>
    <n v="143.36000000000001"/>
    <s v="Credit Card"/>
    <d v="2021-08-24T00:00:00"/>
    <x v="4"/>
  </r>
  <r>
    <s v="I103029"/>
    <s v="C213516"/>
    <x v="1"/>
    <n v="18"/>
    <x v="3"/>
    <x v="7"/>
    <n v="5"/>
    <n v="179.2"/>
    <s v="Cash"/>
    <d v="2021-06-21T00:00:00"/>
    <x v="2"/>
  </r>
  <r>
    <s v="I103031"/>
    <s v="C228178"/>
    <x v="1"/>
    <n v="55"/>
    <x v="1"/>
    <x v="7"/>
    <n v="5"/>
    <n v="179.2"/>
    <s v="Cash"/>
    <d v="2021-09-17T00:00:00"/>
    <x v="5"/>
  </r>
  <r>
    <s v="I103032"/>
    <s v="C317778"/>
    <x v="0"/>
    <n v="65"/>
    <x v="0"/>
    <x v="0"/>
    <n v="2"/>
    <n v="600.16"/>
    <s v="Debit Card"/>
    <d v="2022-09-06T00:00:00"/>
    <x v="5"/>
  </r>
  <r>
    <s v="I103033"/>
    <s v="C960822"/>
    <x v="1"/>
    <n v="38"/>
    <x v="4"/>
    <x v="3"/>
    <n v="2"/>
    <n v="2100"/>
    <s v="Debit Card"/>
    <d v="2021-09-14T00:00:00"/>
    <x v="4"/>
  </r>
  <r>
    <s v="I103035"/>
    <s v="C155712"/>
    <x v="0"/>
    <n v="21"/>
    <x v="3"/>
    <x v="0"/>
    <n v="5"/>
    <n v="1500.4"/>
    <s v="Debit Card"/>
    <d v="2021-08-29T00:00:00"/>
    <x v="3"/>
  </r>
  <r>
    <s v="I103036"/>
    <s v="C992589"/>
    <x v="1"/>
    <n v="39"/>
    <x v="4"/>
    <x v="1"/>
    <n v="2"/>
    <n v="81.319999999999993"/>
    <s v="Cash"/>
    <d v="2022-08-18T00:00:00"/>
    <x v="9"/>
  </r>
  <r>
    <s v="I103044"/>
    <s v="C367741"/>
    <x v="1"/>
    <n v="48"/>
    <x v="1"/>
    <x v="0"/>
    <n v="5"/>
    <n v="1500.4"/>
    <s v="Cash"/>
    <d v="2021-06-13T00:00:00"/>
    <x v="1"/>
  </r>
  <r>
    <s v="I103045"/>
    <s v="C267316"/>
    <x v="1"/>
    <n v="62"/>
    <x v="0"/>
    <x v="5"/>
    <n v="1"/>
    <n v="600.16999999999996"/>
    <s v="Cash"/>
    <d v="2022-08-24T00:00:00"/>
    <x v="3"/>
  </r>
  <r>
    <s v="I103046"/>
    <s v="C208145"/>
    <x v="1"/>
    <n v="33"/>
    <x v="2"/>
    <x v="4"/>
    <n v="1"/>
    <n v="5.23"/>
    <s v="Credit Card"/>
    <d v="2021-01-26T00:00:00"/>
    <x v="0"/>
  </r>
  <r>
    <s v="I103055"/>
    <s v="C315737"/>
    <x v="0"/>
    <n v="44"/>
    <x v="4"/>
    <x v="1"/>
    <n v="4"/>
    <n v="162.63999999999999"/>
    <s v="Credit Card"/>
    <d v="2022-07-17T00:00:00"/>
    <x v="3"/>
  </r>
  <r>
    <s v="I103056"/>
    <s v="C258161"/>
    <x v="0"/>
    <n v="34"/>
    <x v="2"/>
    <x v="4"/>
    <n v="4"/>
    <n v="20.92"/>
    <s v="Credit Card"/>
    <d v="2022-05-18T00:00:00"/>
    <x v="2"/>
  </r>
  <r>
    <s v="I103059"/>
    <s v="C264391"/>
    <x v="1"/>
    <n v="67"/>
    <x v="0"/>
    <x v="1"/>
    <n v="1"/>
    <n v="40.659999999999997"/>
    <s v="Debit Card"/>
    <d v="2022-06-20T00:00:00"/>
    <x v="3"/>
  </r>
  <r>
    <s v="I103061"/>
    <s v="C603549"/>
    <x v="1"/>
    <n v="41"/>
    <x v="4"/>
    <x v="0"/>
    <n v="2"/>
    <n v="600.16"/>
    <s v="Cash"/>
    <d v="2021-01-17T00:00:00"/>
    <x v="2"/>
  </r>
  <r>
    <s v="I103062"/>
    <s v="C232094"/>
    <x v="1"/>
    <n v="53"/>
    <x v="1"/>
    <x v="4"/>
    <n v="5"/>
    <n v="26.15"/>
    <s v="Credit Card"/>
    <d v="2023-02-11T00:00:00"/>
    <x v="5"/>
  </r>
  <r>
    <s v="I103064"/>
    <s v="C274479"/>
    <x v="1"/>
    <n v="36"/>
    <x v="4"/>
    <x v="7"/>
    <n v="2"/>
    <n v="71.680000000000007"/>
    <s v="Cash"/>
    <d v="2023-03-04T00:00:00"/>
    <x v="3"/>
  </r>
  <r>
    <s v="I103065"/>
    <s v="C205710"/>
    <x v="0"/>
    <n v="31"/>
    <x v="2"/>
    <x v="2"/>
    <n v="2"/>
    <n v="30.3"/>
    <s v="Credit Card"/>
    <d v="2021-03-14T00:00:00"/>
    <x v="2"/>
  </r>
  <r>
    <s v="I103066"/>
    <s v="C340003"/>
    <x v="0"/>
    <n v="66"/>
    <x v="0"/>
    <x v="0"/>
    <n v="1"/>
    <n v="300.08"/>
    <s v="Cash"/>
    <d v="2021-08-11T00:00:00"/>
    <x v="2"/>
  </r>
  <r>
    <s v="I103067"/>
    <s v="C210847"/>
    <x v="0"/>
    <n v="22"/>
    <x v="3"/>
    <x v="7"/>
    <n v="3"/>
    <n v="107.52"/>
    <s v="Debit Card"/>
    <d v="2021-11-25T00:00:00"/>
    <x v="5"/>
  </r>
  <r>
    <s v="I103068"/>
    <s v="C115494"/>
    <x v="0"/>
    <n v="69"/>
    <x v="0"/>
    <x v="0"/>
    <n v="2"/>
    <n v="600.16"/>
    <s v="Debit Card"/>
    <d v="2021-03-21T00:00:00"/>
    <x v="5"/>
  </r>
  <r>
    <s v="I103070"/>
    <s v="C754112"/>
    <x v="0"/>
    <n v="19"/>
    <x v="3"/>
    <x v="1"/>
    <n v="2"/>
    <n v="81.319999999999993"/>
    <s v="Cash"/>
    <d v="2021-12-31T00:00:00"/>
    <x v="5"/>
  </r>
  <r>
    <s v="I103071"/>
    <s v="C243412"/>
    <x v="0"/>
    <n v="26"/>
    <x v="2"/>
    <x v="4"/>
    <n v="5"/>
    <n v="26.15"/>
    <s v="Cash"/>
    <d v="2022-12-09T00:00:00"/>
    <x v="2"/>
  </r>
  <r>
    <s v="I103072"/>
    <s v="C170969"/>
    <x v="0"/>
    <n v="20"/>
    <x v="3"/>
    <x v="1"/>
    <n v="4"/>
    <n v="162.63999999999999"/>
    <s v="Cash"/>
    <d v="2022-04-04T00:00:00"/>
    <x v="6"/>
  </r>
  <r>
    <s v="I103076"/>
    <s v="C288406"/>
    <x v="1"/>
    <n v="24"/>
    <x v="3"/>
    <x v="0"/>
    <n v="4"/>
    <n v="1200.32"/>
    <s v="Debit Card"/>
    <d v="2021-09-10T00:00:00"/>
    <x v="1"/>
  </r>
  <r>
    <s v="I103081"/>
    <s v="C119424"/>
    <x v="1"/>
    <n v="68"/>
    <x v="0"/>
    <x v="4"/>
    <n v="2"/>
    <n v="10.46"/>
    <s v="Cash"/>
    <d v="2022-07-27T00:00:00"/>
    <x v="2"/>
  </r>
  <r>
    <s v="I103082"/>
    <s v="C286580"/>
    <x v="1"/>
    <n v="33"/>
    <x v="2"/>
    <x v="2"/>
    <n v="3"/>
    <n v="45.45"/>
    <s v="Credit Card"/>
    <d v="2022-10-12T00:00:00"/>
    <x v="3"/>
  </r>
  <r>
    <s v="I103083"/>
    <s v="C936888"/>
    <x v="1"/>
    <n v="48"/>
    <x v="1"/>
    <x v="1"/>
    <n v="4"/>
    <n v="162.63999999999999"/>
    <s v="Cash"/>
    <d v="2022-02-15T00:00:00"/>
    <x v="9"/>
  </r>
  <r>
    <s v="I103085"/>
    <s v="C252697"/>
    <x v="1"/>
    <n v="27"/>
    <x v="2"/>
    <x v="0"/>
    <n v="2"/>
    <n v="600.16"/>
    <s v="Credit Card"/>
    <d v="2022-08-27T00:00:00"/>
    <x v="5"/>
  </r>
  <r>
    <s v="I103086"/>
    <s v="C285452"/>
    <x v="1"/>
    <n v="52"/>
    <x v="1"/>
    <x v="1"/>
    <n v="4"/>
    <n v="162.63999999999999"/>
    <s v="Cash"/>
    <d v="2022-08-17T00:00:00"/>
    <x v="3"/>
  </r>
  <r>
    <m/>
    <m/>
    <x v="2"/>
    <m/>
    <x v="5"/>
    <x v="8"/>
    <m/>
    <m/>
    <m/>
    <m/>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F689E-C3EB-4D13-9C7E-75F9816E240E}" name="PivotTable12"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P8:Q17" firstHeaderRow="1" firstDataRow="1" firstDataCol="1"/>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0"/>
        <item x="1"/>
        <item x="4"/>
        <item x="5"/>
        <item x="6"/>
        <item x="3"/>
        <item x="7"/>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80">
        <item x="149"/>
        <item x="537"/>
        <item x="175"/>
        <item x="143"/>
        <item x="217"/>
        <item x="449"/>
        <item x="235"/>
        <item x="382"/>
        <item x="507"/>
        <item x="243"/>
        <item x="122"/>
        <item x="360"/>
        <item x="219"/>
        <item x="301"/>
        <item x="320"/>
        <item x="390"/>
        <item x="514"/>
        <item x="45"/>
        <item x="150"/>
        <item x="500"/>
        <item x="32"/>
        <item x="444"/>
        <item x="389"/>
        <item x="17"/>
        <item x="275"/>
        <item x="565"/>
        <item x="327"/>
        <item x="212"/>
        <item x="312"/>
        <item x="62"/>
        <item x="255"/>
        <item x="81"/>
        <item x="436"/>
        <item x="151"/>
        <item x="529"/>
        <item x="481"/>
        <item x="426"/>
        <item x="429"/>
        <item x="43"/>
        <item x="451"/>
        <item x="337"/>
        <item x="568"/>
        <item x="2"/>
        <item x="192"/>
        <item x="315"/>
        <item x="207"/>
        <item x="296"/>
        <item x="310"/>
        <item x="300"/>
        <item x="230"/>
        <item x="548"/>
        <item x="58"/>
        <item x="575"/>
        <item x="202"/>
        <item x="513"/>
        <item x="159"/>
        <item x="447"/>
        <item x="152"/>
        <item x="158"/>
        <item x="489"/>
        <item x="225"/>
        <item x="373"/>
        <item x="497"/>
        <item x="405"/>
        <item x="227"/>
        <item x="347"/>
        <item x="223"/>
        <item x="46"/>
        <item x="65"/>
        <item x="113"/>
        <item x="137"/>
        <item x="23"/>
        <item x="425"/>
        <item x="61"/>
        <item x="463"/>
        <item x="316"/>
        <item x="131"/>
        <item x="417"/>
        <item x="544"/>
        <item x="406"/>
        <item x="419"/>
        <item x="338"/>
        <item x="210"/>
        <item x="144"/>
        <item x="111"/>
        <item x="201"/>
        <item x="252"/>
        <item x="244"/>
        <item x="465"/>
        <item x="156"/>
        <item x="82"/>
        <item x="459"/>
        <item x="36"/>
        <item x="375"/>
        <item x="48"/>
        <item x="114"/>
        <item x="518"/>
        <item x="456"/>
        <item x="204"/>
        <item x="173"/>
        <item x="68"/>
        <item x="555"/>
        <item x="536"/>
        <item x="325"/>
        <item x="457"/>
        <item x="317"/>
        <item x="195"/>
        <item x="167"/>
        <item x="8"/>
        <item x="237"/>
        <item x="261"/>
        <item x="319"/>
        <item x="182"/>
        <item x="391"/>
        <item x="273"/>
        <item x="13"/>
        <item x="435"/>
        <item x="125"/>
        <item x="260"/>
        <item x="1"/>
        <item x="5"/>
        <item x="530"/>
        <item x="257"/>
        <item x="409"/>
        <item x="238"/>
        <item x="60"/>
        <item x="83"/>
        <item x="44"/>
        <item x="508"/>
        <item x="270"/>
        <item x="510"/>
        <item x="115"/>
        <item x="130"/>
        <item x="461"/>
        <item x="339"/>
        <item x="18"/>
        <item x="188"/>
        <item x="206"/>
        <item x="134"/>
        <item x="56"/>
        <item x="74"/>
        <item x="365"/>
        <item x="404"/>
        <item x="42"/>
        <item x="504"/>
        <item x="516"/>
        <item x="53"/>
        <item x="177"/>
        <item x="492"/>
        <item x="279"/>
        <item x="572"/>
        <item x="88"/>
        <item x="100"/>
        <item x="458"/>
        <item x="30"/>
        <item x="169"/>
        <item x="377"/>
        <item x="126"/>
        <item x="16"/>
        <item x="203"/>
        <item x="336"/>
        <item x="14"/>
        <item x="414"/>
        <item x="525"/>
        <item x="241"/>
        <item x="570"/>
        <item x="211"/>
        <item x="93"/>
        <item x="455"/>
        <item x="247"/>
        <item x="109"/>
        <item x="253"/>
        <item x="37"/>
        <item x="132"/>
        <item x="355"/>
        <item x="63"/>
        <item x="148"/>
        <item x="242"/>
        <item x="343"/>
        <item x="411"/>
        <item x="269"/>
        <item x="331"/>
        <item x="266"/>
        <item x="29"/>
        <item x="521"/>
        <item x="531"/>
        <item x="197"/>
        <item x="445"/>
        <item x="574"/>
        <item x="142"/>
        <item x="499"/>
        <item x="267"/>
        <item x="112"/>
        <item x="288"/>
        <item x="120"/>
        <item x="384"/>
        <item x="200"/>
        <item x="486"/>
        <item x="311"/>
        <item x="146"/>
        <item x="448"/>
        <item x="378"/>
        <item x="278"/>
        <item x="560"/>
        <item x="523"/>
        <item x="157"/>
        <item x="229"/>
        <item x="569"/>
        <item x="12"/>
        <item x="539"/>
        <item x="346"/>
        <item x="15"/>
        <item x="231"/>
        <item x="7"/>
        <item x="432"/>
        <item x="573"/>
        <item x="328"/>
        <item x="208"/>
        <item x="376"/>
        <item x="433"/>
        <item x="480"/>
        <item x="226"/>
        <item x="550"/>
        <item x="138"/>
        <item x="124"/>
        <item x="398"/>
        <item x="161"/>
        <item x="402"/>
        <item x="147"/>
        <item x="171"/>
        <item x="413"/>
        <item x="440"/>
        <item x="284"/>
        <item x="450"/>
        <item x="47"/>
        <item x="27"/>
        <item x="41"/>
        <item x="268"/>
        <item x="540"/>
        <item x="116"/>
        <item x="25"/>
        <item x="183"/>
        <item x="416"/>
        <item x="154"/>
        <item x="185"/>
        <item x="380"/>
        <item x="341"/>
        <item x="482"/>
        <item x="394"/>
        <item x="345"/>
        <item x="387"/>
        <item x="49"/>
        <item x="324"/>
        <item x="302"/>
        <item x="364"/>
        <item x="423"/>
        <item x="344"/>
        <item x="24"/>
        <item x="153"/>
        <item x="249"/>
        <item x="118"/>
        <item x="87"/>
        <item x="469"/>
        <item x="10"/>
        <item x="366"/>
        <item x="329"/>
        <item x="20"/>
        <item x="495"/>
        <item x="541"/>
        <item x="412"/>
        <item x="441"/>
        <item x="479"/>
        <item x="470"/>
        <item x="350"/>
        <item x="488"/>
        <item x="145"/>
        <item x="471"/>
        <item x="526"/>
        <item x="117"/>
        <item x="165"/>
        <item x="281"/>
        <item x="452"/>
        <item x="94"/>
        <item x="462"/>
        <item x="487"/>
        <item x="287"/>
        <item x="121"/>
        <item x="215"/>
        <item x="439"/>
        <item x="571"/>
        <item x="491"/>
        <item x="240"/>
        <item x="277"/>
        <item x="86"/>
        <item x="579"/>
        <item x="427"/>
        <item x="464"/>
        <item x="181"/>
        <item x="532"/>
        <item x="57"/>
        <item x="54"/>
        <item x="214"/>
        <item x="527"/>
        <item x="304"/>
        <item x="395"/>
        <item x="168"/>
        <item x="64"/>
        <item x="224"/>
        <item x="66"/>
        <item x="290"/>
        <item x="228"/>
        <item x="354"/>
        <item x="466"/>
        <item x="400"/>
        <item x="180"/>
        <item x="383"/>
        <item x="187"/>
        <item x="472"/>
        <item x="323"/>
        <item x="232"/>
        <item x="321"/>
        <item x="34"/>
        <item x="22"/>
        <item x="358"/>
        <item x="399"/>
        <item x="493"/>
        <item x="216"/>
        <item x="194"/>
        <item x="577"/>
        <item x="164"/>
        <item x="186"/>
        <item x="453"/>
        <item x="254"/>
        <item x="193"/>
        <item x="141"/>
        <item x="160"/>
        <item x="28"/>
        <item x="40"/>
        <item x="50"/>
        <item x="234"/>
        <item x="97"/>
        <item x="129"/>
        <item x="96"/>
        <item x="357"/>
        <item x="39"/>
        <item x="19"/>
        <item x="259"/>
        <item x="502"/>
        <item x="421"/>
        <item x="297"/>
        <item x="313"/>
        <item x="196"/>
        <item x="401"/>
        <item x="352"/>
        <item x="460"/>
        <item x="292"/>
        <item x="189"/>
        <item x="71"/>
        <item x="418"/>
        <item x="522"/>
        <item x="4"/>
        <item x="104"/>
        <item x="291"/>
        <item x="309"/>
        <item x="103"/>
        <item x="520"/>
        <item x="542"/>
        <item x="222"/>
        <item x="78"/>
        <item x="494"/>
        <item x="475"/>
        <item x="385"/>
        <item x="367"/>
        <item x="333"/>
        <item x="285"/>
        <item x="184"/>
        <item x="424"/>
        <item x="468"/>
        <item x="506"/>
        <item x="335"/>
        <item x="166"/>
        <item x="356"/>
        <item x="248"/>
        <item x="263"/>
        <item x="306"/>
        <item x="293"/>
        <item x="303"/>
        <item x="6"/>
        <item x="314"/>
        <item x="274"/>
        <item x="163"/>
        <item x="108"/>
        <item x="305"/>
        <item x="361"/>
        <item x="483"/>
        <item x="295"/>
        <item x="299"/>
        <item x="190"/>
        <item x="561"/>
        <item x="509"/>
        <item x="545"/>
        <item x="0"/>
        <item x="95"/>
        <item x="410"/>
        <item x="368"/>
        <item x="106"/>
        <item x="35"/>
        <item x="128"/>
        <item x="552"/>
        <item x="349"/>
        <item x="386"/>
        <item x="9"/>
        <item x="282"/>
        <item x="578"/>
        <item x="370"/>
        <item x="430"/>
        <item x="84"/>
        <item x="332"/>
        <item x="107"/>
        <item x="562"/>
        <item x="342"/>
        <item x="498"/>
        <item x="294"/>
        <item x="209"/>
        <item x="547"/>
        <item x="340"/>
        <item x="233"/>
        <item x="85"/>
        <item x="442"/>
        <item x="89"/>
        <item x="162"/>
        <item x="359"/>
        <item x="549"/>
        <item x="286"/>
        <item x="280"/>
        <item x="484"/>
        <item x="26"/>
        <item x="251"/>
        <item x="236"/>
        <item x="393"/>
        <item x="501"/>
        <item x="318"/>
        <item x="496"/>
        <item x="559"/>
        <item x="140"/>
        <item x="262"/>
        <item x="272"/>
        <item x="505"/>
        <item x="136"/>
        <item x="172"/>
        <item x="322"/>
        <item x="31"/>
        <item x="179"/>
        <item x="519"/>
        <item x="533"/>
        <item x="174"/>
        <item x="51"/>
        <item x="428"/>
        <item x="563"/>
        <item x="431"/>
        <item x="178"/>
        <item x="512"/>
        <item x="374"/>
        <item x="265"/>
        <item x="474"/>
        <item x="351"/>
        <item x="92"/>
        <item x="446"/>
        <item x="515"/>
        <item x="246"/>
        <item x="298"/>
        <item x="21"/>
        <item x="102"/>
        <item x="397"/>
        <item x="70"/>
        <item x="420"/>
        <item x="67"/>
        <item x="524"/>
        <item x="478"/>
        <item x="276"/>
        <item x="75"/>
        <item x="454"/>
        <item x="407"/>
        <item x="473"/>
        <item x="110"/>
        <item x="553"/>
        <item x="535"/>
        <item x="256"/>
        <item x="98"/>
        <item x="567"/>
        <item x="396"/>
        <item x="566"/>
        <item x="369"/>
        <item x="485"/>
        <item x="334"/>
        <item x="415"/>
        <item x="554"/>
        <item x="543"/>
        <item x="467"/>
        <item x="99"/>
        <item x="33"/>
        <item x="59"/>
        <item x="69"/>
        <item x="170"/>
        <item x="503"/>
        <item x="534"/>
        <item x="558"/>
        <item x="326"/>
        <item x="205"/>
        <item x="90"/>
        <item x="388"/>
        <item x="528"/>
        <item x="271"/>
        <item x="119"/>
        <item x="490"/>
        <item x="363"/>
        <item x="576"/>
        <item x="38"/>
        <item x="80"/>
        <item x="91"/>
        <item x="101"/>
        <item x="511"/>
        <item x="77"/>
        <item x="55"/>
        <item x="289"/>
        <item x="250"/>
        <item x="133"/>
        <item x="283"/>
        <item x="348"/>
        <item x="381"/>
        <item x="213"/>
        <item x="105"/>
        <item x="517"/>
        <item x="11"/>
        <item x="239"/>
        <item x="3"/>
        <item x="176"/>
        <item x="546"/>
        <item x="127"/>
        <item x="220"/>
        <item x="76"/>
        <item x="564"/>
        <item x="308"/>
        <item x="353"/>
        <item x="330"/>
        <item x="198"/>
        <item x="191"/>
        <item x="422"/>
        <item x="403"/>
        <item x="438"/>
        <item x="379"/>
        <item x="264"/>
        <item x="52"/>
        <item x="258"/>
        <item x="538"/>
        <item x="371"/>
        <item x="155"/>
        <item x="551"/>
        <item x="221"/>
        <item x="392"/>
        <item x="477"/>
        <item x="476"/>
        <item x="307"/>
        <item x="408"/>
        <item x="245"/>
        <item x="434"/>
        <item x="218"/>
        <item x="199"/>
        <item x="72"/>
        <item x="443"/>
        <item x="139"/>
        <item x="437"/>
        <item x="557"/>
        <item x="73"/>
        <item x="362"/>
        <item x="135"/>
        <item x="79"/>
        <item x="372"/>
        <item x="556"/>
        <item x="123"/>
      </items>
      <extLst>
        <ext xmlns:x14="http://schemas.microsoft.com/office/spreadsheetml/2009/9/main" uri="{2946ED86-A175-432a-8AC1-64E0C546D7DE}">
          <x14:pivotField fillDownLabels="1"/>
        </ext>
      </extLst>
    </pivotField>
    <pivotField compact="0" outline="0" showAll="0" defaultSubtotal="0">
      <items count="10">
        <item x="8"/>
        <item x="0"/>
        <item x="6"/>
        <item x="9"/>
        <item x="5"/>
        <item x="2"/>
        <item x="3"/>
        <item x="7"/>
        <item x="1"/>
        <item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
    <field x="4"/>
  </rowFields>
  <rowItems count="9">
    <i>
      <x/>
    </i>
    <i>
      <x v="1"/>
    </i>
    <i>
      <x v="2"/>
    </i>
    <i>
      <x v="3"/>
    </i>
    <i>
      <x v="4"/>
    </i>
    <i>
      <x v="5"/>
    </i>
    <i>
      <x v="6"/>
    </i>
    <i>
      <x v="7"/>
    </i>
    <i t="grand">
      <x/>
    </i>
  </rowItems>
  <colItems count="1">
    <i/>
  </colItems>
  <dataFields count="1">
    <dataField name="Sum of quantity" fld="5" baseField="0" baseItem="0"/>
  </dataFields>
  <formats count="4">
    <format dxfId="3">
      <pivotArea type="all" dataOnly="0" outline="0" fieldPosition="0"/>
    </format>
    <format dxfId="4">
      <pivotArea outline="0" collapsedLevelsAreSubtotals="1" fieldPosition="0"/>
    </format>
    <format dxfId="5">
      <pivotArea field="2" type="button" dataOnly="0" labelOnly="1" outline="0"/>
    </format>
    <format dxfId="6">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1A1CAB-AB16-46CB-B492-86B6CB509843}" name="PivotTable10"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L7:M10" firstHeaderRow="1" firstDataRow="1" firstDataCol="1"/>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4"/>
        <item x="5"/>
        <item x="6"/>
        <item x="3"/>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80">
        <item x="149"/>
        <item x="537"/>
        <item x="175"/>
        <item x="143"/>
        <item x="217"/>
        <item x="449"/>
        <item x="235"/>
        <item x="382"/>
        <item x="507"/>
        <item x="243"/>
        <item x="122"/>
        <item x="360"/>
        <item x="219"/>
        <item x="301"/>
        <item x="320"/>
        <item x="390"/>
        <item x="514"/>
        <item x="45"/>
        <item x="150"/>
        <item x="500"/>
        <item x="32"/>
        <item x="444"/>
        <item x="389"/>
        <item x="17"/>
        <item x="275"/>
        <item x="565"/>
        <item x="327"/>
        <item x="212"/>
        <item x="312"/>
        <item x="62"/>
        <item x="255"/>
        <item x="81"/>
        <item x="436"/>
        <item x="151"/>
        <item x="529"/>
        <item x="481"/>
        <item x="426"/>
        <item x="429"/>
        <item x="43"/>
        <item x="451"/>
        <item x="337"/>
        <item x="568"/>
        <item x="2"/>
        <item x="192"/>
        <item x="315"/>
        <item x="207"/>
        <item x="296"/>
        <item x="310"/>
        <item x="300"/>
        <item x="230"/>
        <item x="548"/>
        <item x="58"/>
        <item x="575"/>
        <item x="202"/>
        <item x="513"/>
        <item x="159"/>
        <item x="447"/>
        <item x="152"/>
        <item x="158"/>
        <item x="489"/>
        <item x="225"/>
        <item x="373"/>
        <item x="497"/>
        <item x="405"/>
        <item x="227"/>
        <item x="347"/>
        <item x="223"/>
        <item x="46"/>
        <item x="65"/>
        <item x="113"/>
        <item x="137"/>
        <item x="23"/>
        <item x="425"/>
        <item x="61"/>
        <item x="463"/>
        <item x="316"/>
        <item x="131"/>
        <item x="417"/>
        <item x="544"/>
        <item x="406"/>
        <item x="419"/>
        <item x="338"/>
        <item x="210"/>
        <item x="144"/>
        <item x="111"/>
        <item x="201"/>
        <item x="252"/>
        <item x="244"/>
        <item x="465"/>
        <item x="156"/>
        <item x="82"/>
        <item x="459"/>
        <item x="36"/>
        <item x="375"/>
        <item x="48"/>
        <item x="114"/>
        <item x="518"/>
        <item x="456"/>
        <item x="204"/>
        <item x="173"/>
        <item x="68"/>
        <item x="555"/>
        <item x="536"/>
        <item x="325"/>
        <item x="457"/>
        <item x="317"/>
        <item x="195"/>
        <item x="167"/>
        <item x="8"/>
        <item x="237"/>
        <item x="261"/>
        <item x="319"/>
        <item x="182"/>
        <item x="391"/>
        <item x="273"/>
        <item x="13"/>
        <item x="435"/>
        <item x="125"/>
        <item x="260"/>
        <item x="1"/>
        <item x="5"/>
        <item x="530"/>
        <item x="257"/>
        <item x="409"/>
        <item x="238"/>
        <item x="60"/>
        <item x="83"/>
        <item x="44"/>
        <item x="508"/>
        <item x="270"/>
        <item x="510"/>
        <item x="115"/>
        <item x="130"/>
        <item x="461"/>
        <item x="339"/>
        <item x="18"/>
        <item x="188"/>
        <item x="206"/>
        <item x="134"/>
        <item x="56"/>
        <item x="74"/>
        <item x="365"/>
        <item x="404"/>
        <item x="42"/>
        <item x="504"/>
        <item x="516"/>
        <item x="53"/>
        <item x="177"/>
        <item x="492"/>
        <item x="279"/>
        <item x="572"/>
        <item x="88"/>
        <item x="100"/>
        <item x="458"/>
        <item x="30"/>
        <item x="169"/>
        <item x="377"/>
        <item x="126"/>
        <item x="16"/>
        <item x="203"/>
        <item x="336"/>
        <item x="14"/>
        <item x="414"/>
        <item x="525"/>
        <item x="241"/>
        <item x="570"/>
        <item x="211"/>
        <item x="93"/>
        <item x="455"/>
        <item x="247"/>
        <item x="109"/>
        <item x="253"/>
        <item x="37"/>
        <item x="132"/>
        <item x="355"/>
        <item x="63"/>
        <item x="148"/>
        <item x="242"/>
        <item x="343"/>
        <item x="411"/>
        <item x="269"/>
        <item x="331"/>
        <item x="266"/>
        <item x="29"/>
        <item x="521"/>
        <item x="531"/>
        <item x="197"/>
        <item x="445"/>
        <item x="574"/>
        <item x="142"/>
        <item x="499"/>
        <item x="267"/>
        <item x="112"/>
        <item x="288"/>
        <item x="120"/>
        <item x="384"/>
        <item x="200"/>
        <item x="486"/>
        <item x="311"/>
        <item x="146"/>
        <item x="448"/>
        <item x="378"/>
        <item x="278"/>
        <item x="560"/>
        <item x="523"/>
        <item x="157"/>
        <item x="229"/>
        <item x="569"/>
        <item x="12"/>
        <item x="539"/>
        <item x="346"/>
        <item x="15"/>
        <item x="231"/>
        <item x="7"/>
        <item x="432"/>
        <item x="573"/>
        <item x="328"/>
        <item x="208"/>
        <item x="376"/>
        <item x="433"/>
        <item x="480"/>
        <item x="226"/>
        <item x="550"/>
        <item x="138"/>
        <item x="124"/>
        <item x="398"/>
        <item x="161"/>
        <item x="402"/>
        <item x="147"/>
        <item x="171"/>
        <item x="413"/>
        <item x="440"/>
        <item x="284"/>
        <item x="450"/>
        <item x="47"/>
        <item x="27"/>
        <item x="41"/>
        <item x="268"/>
        <item x="540"/>
        <item x="116"/>
        <item x="25"/>
        <item x="183"/>
        <item x="416"/>
        <item x="154"/>
        <item x="185"/>
        <item x="380"/>
        <item x="341"/>
        <item x="482"/>
        <item x="394"/>
        <item x="345"/>
        <item x="387"/>
        <item x="49"/>
        <item x="324"/>
        <item x="302"/>
        <item x="364"/>
        <item x="423"/>
        <item x="344"/>
        <item x="24"/>
        <item x="153"/>
        <item x="249"/>
        <item x="118"/>
        <item x="87"/>
        <item x="469"/>
        <item x="10"/>
        <item x="366"/>
        <item x="329"/>
        <item x="20"/>
        <item x="495"/>
        <item x="541"/>
        <item x="412"/>
        <item x="441"/>
        <item x="479"/>
        <item x="470"/>
        <item x="350"/>
        <item x="488"/>
        <item x="145"/>
        <item x="471"/>
        <item x="526"/>
        <item x="117"/>
        <item x="165"/>
        <item x="281"/>
        <item x="452"/>
        <item x="94"/>
        <item x="462"/>
        <item x="487"/>
        <item x="287"/>
        <item x="121"/>
        <item x="215"/>
        <item x="439"/>
        <item x="571"/>
        <item x="491"/>
        <item x="240"/>
        <item x="277"/>
        <item x="86"/>
        <item x="579"/>
        <item x="427"/>
        <item x="464"/>
        <item x="181"/>
        <item x="532"/>
        <item x="57"/>
        <item x="54"/>
        <item x="214"/>
        <item x="527"/>
        <item x="304"/>
        <item x="395"/>
        <item x="168"/>
        <item x="64"/>
        <item x="224"/>
        <item x="66"/>
        <item x="290"/>
        <item x="228"/>
        <item x="354"/>
        <item x="466"/>
        <item x="400"/>
        <item x="180"/>
        <item x="383"/>
        <item x="187"/>
        <item x="472"/>
        <item x="323"/>
        <item x="232"/>
        <item x="321"/>
        <item x="34"/>
        <item x="22"/>
        <item x="358"/>
        <item x="399"/>
        <item x="493"/>
        <item x="216"/>
        <item x="194"/>
        <item x="577"/>
        <item x="164"/>
        <item x="186"/>
        <item x="453"/>
        <item x="254"/>
        <item x="193"/>
        <item x="141"/>
        <item x="160"/>
        <item x="28"/>
        <item x="40"/>
        <item x="50"/>
        <item x="234"/>
        <item x="97"/>
        <item x="129"/>
        <item x="96"/>
        <item x="357"/>
        <item x="39"/>
        <item x="19"/>
        <item x="259"/>
        <item x="502"/>
        <item x="421"/>
        <item x="297"/>
        <item x="313"/>
        <item x="196"/>
        <item x="401"/>
        <item x="352"/>
        <item x="460"/>
        <item x="292"/>
        <item x="189"/>
        <item x="71"/>
        <item x="418"/>
        <item x="522"/>
        <item x="4"/>
        <item x="104"/>
        <item x="291"/>
        <item x="309"/>
        <item x="103"/>
        <item x="520"/>
        <item x="542"/>
        <item x="222"/>
        <item x="78"/>
        <item x="494"/>
        <item x="475"/>
        <item x="385"/>
        <item x="367"/>
        <item x="333"/>
        <item x="285"/>
        <item x="184"/>
        <item x="424"/>
        <item x="468"/>
        <item x="506"/>
        <item x="335"/>
        <item x="166"/>
        <item x="356"/>
        <item x="248"/>
        <item x="263"/>
        <item x="306"/>
        <item x="293"/>
        <item x="303"/>
        <item x="6"/>
        <item x="314"/>
        <item x="274"/>
        <item x="163"/>
        <item x="108"/>
        <item x="305"/>
        <item x="361"/>
        <item x="483"/>
        <item x="295"/>
        <item x="299"/>
        <item x="190"/>
        <item x="561"/>
        <item x="509"/>
        <item x="545"/>
        <item x="0"/>
        <item x="95"/>
        <item x="410"/>
        <item x="368"/>
        <item x="106"/>
        <item x="35"/>
        <item x="128"/>
        <item x="552"/>
        <item x="349"/>
        <item x="386"/>
        <item x="9"/>
        <item x="282"/>
        <item x="578"/>
        <item x="370"/>
        <item x="430"/>
        <item x="84"/>
        <item x="332"/>
        <item x="107"/>
        <item x="562"/>
        <item x="342"/>
        <item x="498"/>
        <item x="294"/>
        <item x="209"/>
        <item x="547"/>
        <item x="340"/>
        <item x="233"/>
        <item x="85"/>
        <item x="442"/>
        <item x="89"/>
        <item x="162"/>
        <item x="359"/>
        <item x="549"/>
        <item x="286"/>
        <item x="280"/>
        <item x="484"/>
        <item x="26"/>
        <item x="251"/>
        <item x="236"/>
        <item x="393"/>
        <item x="501"/>
        <item x="318"/>
        <item x="496"/>
        <item x="559"/>
        <item x="140"/>
        <item x="262"/>
        <item x="272"/>
        <item x="505"/>
        <item x="136"/>
        <item x="172"/>
        <item x="322"/>
        <item x="31"/>
        <item x="179"/>
        <item x="519"/>
        <item x="533"/>
        <item x="174"/>
        <item x="51"/>
        <item x="428"/>
        <item x="563"/>
        <item x="431"/>
        <item x="178"/>
        <item x="512"/>
        <item x="374"/>
        <item x="265"/>
        <item x="474"/>
        <item x="351"/>
        <item x="92"/>
        <item x="446"/>
        <item x="515"/>
        <item x="246"/>
        <item x="298"/>
        <item x="21"/>
        <item x="102"/>
        <item x="397"/>
        <item x="70"/>
        <item x="420"/>
        <item x="67"/>
        <item x="524"/>
        <item x="478"/>
        <item x="276"/>
        <item x="75"/>
        <item x="454"/>
        <item x="407"/>
        <item x="473"/>
        <item x="110"/>
        <item x="553"/>
        <item x="535"/>
        <item x="256"/>
        <item x="98"/>
        <item x="567"/>
        <item x="396"/>
        <item x="566"/>
        <item x="369"/>
        <item x="485"/>
        <item x="334"/>
        <item x="415"/>
        <item x="554"/>
        <item x="543"/>
        <item x="467"/>
        <item x="99"/>
        <item x="33"/>
        <item x="59"/>
        <item x="69"/>
        <item x="170"/>
        <item x="503"/>
        <item x="534"/>
        <item x="558"/>
        <item x="326"/>
        <item x="205"/>
        <item x="90"/>
        <item x="388"/>
        <item x="528"/>
        <item x="271"/>
        <item x="119"/>
        <item x="490"/>
        <item x="363"/>
        <item x="576"/>
        <item x="38"/>
        <item x="80"/>
        <item x="91"/>
        <item x="101"/>
        <item x="511"/>
        <item x="77"/>
        <item x="55"/>
        <item x="289"/>
        <item x="250"/>
        <item x="133"/>
        <item x="283"/>
        <item x="348"/>
        <item x="381"/>
        <item x="213"/>
        <item x="105"/>
        <item x="517"/>
        <item x="11"/>
        <item x="239"/>
        <item x="3"/>
        <item x="176"/>
        <item x="546"/>
        <item x="127"/>
        <item x="220"/>
        <item x="76"/>
        <item x="564"/>
        <item x="308"/>
        <item x="353"/>
        <item x="330"/>
        <item x="198"/>
        <item x="191"/>
        <item x="422"/>
        <item x="403"/>
        <item x="438"/>
        <item x="379"/>
        <item x="264"/>
        <item x="52"/>
        <item x="258"/>
        <item x="538"/>
        <item x="371"/>
        <item x="155"/>
        <item x="551"/>
        <item x="221"/>
        <item x="392"/>
        <item x="477"/>
        <item x="476"/>
        <item x="307"/>
        <item x="408"/>
        <item x="245"/>
        <item x="434"/>
        <item x="218"/>
        <item x="199"/>
        <item x="72"/>
        <item x="443"/>
        <item x="139"/>
        <item x="437"/>
        <item x="557"/>
        <item x="73"/>
        <item x="362"/>
        <item x="135"/>
        <item x="79"/>
        <item x="372"/>
        <item x="556"/>
        <item x="123"/>
      </items>
      <extLst>
        <ext xmlns:x14="http://schemas.microsoft.com/office/spreadsheetml/2009/9/main" uri="{2946ED86-A175-432a-8AC1-64E0C546D7DE}">
          <x14:pivotField fillDownLabels="1"/>
        </ext>
      </extLst>
    </pivotField>
    <pivotField compact="0" outline="0" showAll="0" defaultSubtotal="0">
      <items count="10">
        <item x="8"/>
        <item x="0"/>
        <item x="6"/>
        <item x="9"/>
        <item x="5"/>
        <item x="2"/>
        <item x="3"/>
        <item x="7"/>
        <item x="1"/>
        <item x="4"/>
      </items>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3">
    <i>
      <x/>
    </i>
    <i>
      <x v="1"/>
    </i>
    <i t="grand">
      <x/>
    </i>
  </rowItems>
  <colItems count="1">
    <i/>
  </colItems>
  <dataFields count="1">
    <dataField name="Total  Revenue" fld="10" baseField="2" baseItem="0"/>
  </dataFields>
  <formats count="4">
    <format dxfId="7">
      <pivotArea type="all" dataOnly="0" outline="0" fieldPosition="0"/>
    </format>
    <format dxfId="8">
      <pivotArea outline="0" collapsedLevelsAreSubtotals="1" fieldPosition="0"/>
    </format>
    <format dxfId="9">
      <pivotArea field="2" type="button" dataOnly="0" labelOnly="1" outline="0" axis="axisRow" fieldPosition="0"/>
    </format>
    <format dxfId="10">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F1A08D-6708-40DA-9C26-139E437D30D0}" name="PivotTable9"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F7:G10" firstHeaderRow="1" firstDataRow="1" firstDataCol="1"/>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4"/>
        <item x="5"/>
        <item x="6"/>
        <item x="3"/>
        <item x="7"/>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0">
        <item x="8"/>
        <item x="0"/>
        <item x="6"/>
        <item x="9"/>
        <item x="5"/>
        <item x="2"/>
        <item x="3"/>
        <item x="7"/>
        <item x="1"/>
        <item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3">
    <i>
      <x/>
    </i>
    <i>
      <x v="1"/>
    </i>
    <i t="grand">
      <x/>
    </i>
  </rowItems>
  <colItems count="1">
    <i/>
  </colItems>
  <dataFields count="1">
    <dataField name="Total quantity" fld="5" showDataAs="percentOfTotal" baseField="0" baseItem="0" numFmtId="10"/>
  </dataFields>
  <formats count="5">
    <format dxfId="12">
      <pivotArea type="all" dataOnly="0" outline="0" fieldPosition="0"/>
    </format>
    <format dxfId="13">
      <pivotArea outline="0" collapsedLevelsAreSubtotals="1" fieldPosition="0"/>
    </format>
    <format dxfId="14">
      <pivotArea field="2" type="button" dataOnly="0" labelOnly="1" outline="0" axis="axisRow" fieldPosition="0"/>
    </format>
    <format dxfId="15">
      <pivotArea dataOnly="0" labelOnly="1" outline="0" axis="axisValues" fieldPosition="0"/>
    </format>
    <format dxfId="11">
      <pivotArea outline="0" fieldPosition="0">
        <references count="1">
          <reference field="4294967294" count="1">
            <x v="0"/>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76E85E-155A-4CA2-BAA4-23198C3A648C}" name="PivotTable5"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7:B10" firstHeaderRow="1" firstDataRow="1" firstDataCol="1"/>
  <pivotFields count="11">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2"/>
        <item x="0"/>
        <item x="1"/>
        <item x="4"/>
        <item x="5"/>
        <item x="6"/>
        <item x="3"/>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0">
        <item x="8"/>
        <item x="0"/>
        <item x="6"/>
        <item x="9"/>
        <item x="5"/>
        <item x="2"/>
        <item x="3"/>
        <item x="7"/>
        <item x="1"/>
        <item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3">
    <i>
      <x/>
    </i>
    <i>
      <x v="1"/>
    </i>
    <i t="grand">
      <x/>
    </i>
  </rowItems>
  <colItems count="1">
    <i/>
  </colItems>
  <dataFields count="1">
    <dataField name="Count of customer_id" fld="1" subtotal="count" baseField="0" baseItem="0"/>
  </dataFields>
  <formats count="5">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outline="0" fieldPosition="0">
        <references count="1">
          <reference field="2" count="0"/>
        </references>
      </pivotArea>
    </format>
    <format dxfId="16">
      <pivotArea dataOnly="0" labelOnly="1" outline="0" axis="axisValues"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A1850C-B3D1-4AC0-AA36-DF9D4FF09395}" name="PivotTable1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 colHeaderCaption="gender">
  <location ref="P7:S17" firstHeaderRow="1" firstDataRow="2" firstDataCol="1"/>
  <pivotFields count="12">
    <pivotField showAll="0"/>
    <pivotField showAll="0"/>
    <pivotField axis="axisCol" showAll="0">
      <items count="4">
        <item x="1"/>
        <item x="0"/>
        <item h="1" x="2"/>
        <item t="default"/>
      </items>
    </pivotField>
    <pivotField showAll="0"/>
    <pivotField showAll="0">
      <items count="7">
        <item x="3"/>
        <item x="2"/>
        <item x="4"/>
        <item x="1"/>
        <item x="0"/>
        <item h="1" x="5"/>
        <item t="default"/>
      </items>
    </pivotField>
    <pivotField axis="axisRow" showAll="0">
      <items count="10">
        <item sd="0" x="2"/>
        <item sd="0" x="0"/>
        <item sd="0" x="1"/>
        <item sd="0" x="4"/>
        <item sd="0" x="5"/>
        <item sd="0" x="6"/>
        <item sd="0" x="3"/>
        <item sd="0" x="7"/>
        <item x="8"/>
        <item t="default"/>
      </items>
    </pivotField>
    <pivotField dataField="1" showAll="0"/>
    <pivotField showAll="0"/>
    <pivotField showAll="0"/>
    <pivotField showAll="0"/>
    <pivotField showAll="0">
      <items count="12">
        <item x="8"/>
        <item x="0"/>
        <item x="6"/>
        <item x="9"/>
        <item x="5"/>
        <item x="2"/>
        <item x="3"/>
        <item x="7"/>
        <item x="1"/>
        <item x="4"/>
        <item x="10"/>
        <item t="default"/>
      </items>
    </pivotField>
    <pivotField dragToRow="0" dragToCol="0" dragToPage="0" showAll="0" defaultSubtotal="0"/>
  </pivotFields>
  <rowFields count="1">
    <field x="5"/>
  </rowFields>
  <rowItems count="9">
    <i>
      <x/>
    </i>
    <i>
      <x v="1"/>
    </i>
    <i>
      <x v="2"/>
    </i>
    <i>
      <x v="3"/>
    </i>
    <i>
      <x v="4"/>
    </i>
    <i>
      <x v="5"/>
    </i>
    <i>
      <x v="6"/>
    </i>
    <i>
      <x v="7"/>
    </i>
    <i t="grand">
      <x/>
    </i>
  </rowItems>
  <colFields count="1">
    <field x="2"/>
  </colFields>
  <colItems count="3">
    <i>
      <x/>
    </i>
    <i>
      <x v="1"/>
    </i>
    <i t="grand">
      <x/>
    </i>
  </colItems>
  <dataFields count="1">
    <dataField name="Total quantity" fld="6" baseField="0" baseItem="0"/>
  </dataFields>
  <chartFormats count="9">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0"/>
          </reference>
        </references>
      </pivotArea>
    </chartFormat>
    <chartFormat chart="10" format="3" series="1">
      <pivotArea type="data" outline="0" fieldPosition="0">
        <references count="2">
          <reference field="4294967294" count="1" selected="0">
            <x v="0"/>
          </reference>
          <reference field="2" count="1" selected="0">
            <x v="2"/>
          </reference>
        </references>
      </pivotArea>
    </chartFormat>
    <chartFormat chart="10" format="4">
      <pivotArea type="data" outline="0" fieldPosition="0">
        <references count="3">
          <reference field="4294967294" count="1" selected="0">
            <x v="0"/>
          </reference>
          <reference field="2" count="1" selected="0">
            <x v="0"/>
          </reference>
          <reference field="5" count="1" selected="0">
            <x v="4"/>
          </reference>
        </references>
      </pivotArea>
    </chartFormat>
    <chartFormat chart="10" format="5">
      <pivotArea type="data" outline="0" fieldPosition="0">
        <references count="3">
          <reference field="4294967294" count="1" selected="0">
            <x v="0"/>
          </reference>
          <reference field="2" count="1" selected="0">
            <x v="0"/>
          </reference>
          <reference field="5" count="1" selected="0">
            <x v="6"/>
          </reference>
        </references>
      </pivotArea>
    </chartFormat>
    <chartFormat chart="10" format="6">
      <pivotArea type="data" outline="0" fieldPosition="0">
        <references count="3">
          <reference field="4294967294" count="1" selected="0">
            <x v="0"/>
          </reference>
          <reference field="2" count="1" selected="0">
            <x v="1"/>
          </reference>
          <reference field="5" count="1" selected="0">
            <x v="6"/>
          </reference>
        </references>
      </pivotArea>
    </chartFormat>
    <chartFormat chart="10" format="7">
      <pivotArea type="data" outline="0" fieldPosition="0">
        <references count="3">
          <reference field="4294967294" count="1" selected="0">
            <x v="0"/>
          </reference>
          <reference field="2" count="1" selected="0">
            <x v="0"/>
          </reference>
          <reference field="5" count="1" selected="0">
            <x v="0"/>
          </reference>
        </references>
      </pivotArea>
    </chartFormat>
    <chartFormat chart="10" format="8">
      <pivotArea type="data" outline="0" fieldPosition="0">
        <references count="3">
          <reference field="4294967294" count="1" selected="0">
            <x v="0"/>
          </reference>
          <reference field="2" count="1" selected="0">
            <x v="1"/>
          </reference>
          <reference field="5"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36258F-A416-4A37-990A-0E4C20017BBF}" name="PivotTable1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location ref="K7:L13" firstHeaderRow="1" firstDataRow="1" firstDataCol="1"/>
  <pivotFields count="12">
    <pivotField showAll="0"/>
    <pivotField showAll="0"/>
    <pivotField showAll="0">
      <items count="4">
        <item x="1"/>
        <item x="0"/>
        <item h="1" x="2"/>
        <item t="default"/>
      </items>
    </pivotField>
    <pivotField showAll="0"/>
    <pivotField axis="axisRow" showAll="0">
      <items count="7">
        <item x="3"/>
        <item x="2"/>
        <item x="4"/>
        <item x="1"/>
        <item x="0"/>
        <item h="1" x="5"/>
        <item t="default"/>
      </items>
    </pivotField>
    <pivotField showAll="0">
      <items count="10">
        <item x="2"/>
        <item x="0"/>
        <item x="1"/>
        <item x="4"/>
        <item x="5"/>
        <item x="6"/>
        <item x="3"/>
        <item x="7"/>
        <item x="8"/>
        <item t="default"/>
      </items>
    </pivotField>
    <pivotField showAll="0"/>
    <pivotField showAll="0"/>
    <pivotField showAll="0"/>
    <pivotField showAll="0"/>
    <pivotField showAll="0">
      <items count="12">
        <item x="8"/>
        <item x="0"/>
        <item x="6"/>
        <item x="9"/>
        <item x="5"/>
        <item x="2"/>
        <item x="3"/>
        <item x="7"/>
        <item x="1"/>
        <item x="4"/>
        <item x="10"/>
        <item t="default"/>
      </items>
    </pivotField>
    <pivotField dataField="1" dragToRow="0" dragToCol="0" dragToPage="0" showAll="0" defaultSubtotal="0"/>
  </pivotFields>
  <rowFields count="1">
    <field x="4"/>
  </rowFields>
  <rowItems count="6">
    <i>
      <x/>
    </i>
    <i>
      <x v="1"/>
    </i>
    <i>
      <x v="2"/>
    </i>
    <i>
      <x v="3"/>
    </i>
    <i>
      <x v="4"/>
    </i>
    <i t="grand">
      <x/>
    </i>
  </rowItems>
  <colItems count="1">
    <i/>
  </colItems>
  <dataFields count="1">
    <dataField name="Total revenue" fld="11" baseField="4" baseItem="0" numFmtId="1"/>
  </dataField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4" count="1" selected="0">
            <x v="4"/>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F668B0-7648-411D-8574-A18BF058E941}" name="PivotTable1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group">
  <location ref="F7:G13" firstHeaderRow="1" firstDataRow="1" firstDataCol="1"/>
  <pivotFields count="12">
    <pivotField showAll="0"/>
    <pivotField showAll="0"/>
    <pivotField showAll="0">
      <items count="4">
        <item x="1"/>
        <item x="0"/>
        <item h="1" x="2"/>
        <item t="default"/>
      </items>
    </pivotField>
    <pivotField showAll="0"/>
    <pivotField axis="axisRow" showAll="0">
      <items count="7">
        <item x="3"/>
        <item x="2"/>
        <item x="4"/>
        <item x="1"/>
        <item x="0"/>
        <item h="1" x="5"/>
        <item t="default"/>
      </items>
    </pivotField>
    <pivotField showAll="0">
      <items count="10">
        <item x="2"/>
        <item x="0"/>
        <item x="1"/>
        <item x="4"/>
        <item x="5"/>
        <item x="6"/>
        <item x="3"/>
        <item x="7"/>
        <item x="8"/>
        <item t="default"/>
      </items>
    </pivotField>
    <pivotField dataField="1" showAll="0"/>
    <pivotField showAll="0"/>
    <pivotField showAll="0"/>
    <pivotField showAll="0"/>
    <pivotField showAll="0">
      <items count="12">
        <item x="8"/>
        <item x="0"/>
        <item x="6"/>
        <item x="9"/>
        <item x="5"/>
        <item x="2"/>
        <item x="3"/>
        <item x="7"/>
        <item x="1"/>
        <item x="4"/>
        <item x="10"/>
        <item t="default"/>
      </items>
    </pivotField>
    <pivotField dragToRow="0" dragToCol="0" dragToPage="0" showAll="0" defaultSubtotal="0"/>
  </pivotFields>
  <rowFields count="1">
    <field x="4"/>
  </rowFields>
  <rowItems count="6">
    <i>
      <x/>
    </i>
    <i>
      <x v="1"/>
    </i>
    <i>
      <x v="2"/>
    </i>
    <i>
      <x v="3"/>
    </i>
    <i>
      <x v="4"/>
    </i>
    <i t="grand">
      <x/>
    </i>
  </rowItems>
  <colItems count="1">
    <i/>
  </colItems>
  <dataFields count="1">
    <dataField name="Total quantity" fld="6" baseField="4" baseItem="0"/>
  </dataField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4"/>
          </reference>
        </references>
      </pivotArea>
    </chartFormat>
    <chartFormat chart="7" format="2">
      <pivotArea type="data" outline="0" fieldPosition="0">
        <references count="2">
          <reference field="4294967294" count="1" selected="0">
            <x v="0"/>
          </reference>
          <reference field="4"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075D43-AEFC-4AE9-A1A8-431F2F2CC444}" name="PivotTable1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group">
  <location ref="A7:B13" firstHeaderRow="1" firstDataRow="1" firstDataCol="1"/>
  <pivotFields count="12">
    <pivotField showAll="0"/>
    <pivotField dataField="1" showAll="0"/>
    <pivotField showAll="0">
      <items count="4">
        <item x="1"/>
        <item x="0"/>
        <item h="1" x="2"/>
        <item t="default"/>
      </items>
    </pivotField>
    <pivotField showAll="0"/>
    <pivotField axis="axisRow" showAll="0">
      <items count="7">
        <item x="3"/>
        <item x="2"/>
        <item x="4"/>
        <item x="1"/>
        <item x="0"/>
        <item h="1" x="5"/>
        <item t="default"/>
      </items>
    </pivotField>
    <pivotField showAll="0"/>
    <pivotField showAll="0"/>
    <pivotField showAll="0"/>
    <pivotField showAll="0"/>
    <pivotField showAll="0"/>
    <pivotField showAll="0">
      <items count="12">
        <item x="8"/>
        <item x="0"/>
        <item x="6"/>
        <item x="9"/>
        <item x="5"/>
        <item x="2"/>
        <item x="3"/>
        <item x="7"/>
        <item x="1"/>
        <item x="4"/>
        <item x="10"/>
        <item t="default"/>
      </items>
    </pivotField>
    <pivotField dragToRow="0" dragToCol="0" dragToPage="0" showAll="0" defaultSubtotal="0"/>
  </pivotFields>
  <rowFields count="1">
    <field x="4"/>
  </rowFields>
  <rowItems count="6">
    <i>
      <x/>
    </i>
    <i>
      <x v="1"/>
    </i>
    <i>
      <x v="2"/>
    </i>
    <i>
      <x v="3"/>
    </i>
    <i>
      <x v="4"/>
    </i>
    <i t="grand">
      <x/>
    </i>
  </rowItems>
  <colItems count="1">
    <i/>
  </colItems>
  <dataFields count="1">
    <dataField name="Count of customer_id" fld="1" subtotal="count" baseField="0" baseItem="0"/>
  </dataFields>
  <chartFormats count="3">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4"/>
          </reference>
        </references>
      </pivotArea>
    </chartFormat>
    <chartFormat chart="4" format="3">
      <pivotArea type="data" outline="0" fieldPosition="0">
        <references count="2">
          <reference field="4294967294" count="1" selected="0">
            <x v="0"/>
          </reference>
          <reference field="4"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CEA588-191D-442B-AF6B-07138F2F85AF}" name="PivotTable2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payment method" colHeaderCaption="gender">
  <location ref="K7:M11" firstHeaderRow="0" firstDataRow="1" firstDataCol="1"/>
  <pivotFields count="11">
    <pivotField showAll="0"/>
    <pivotField showAll="0"/>
    <pivotField showAll="0">
      <items count="3">
        <item x="1"/>
        <item x="0"/>
        <item t="default"/>
      </items>
    </pivotField>
    <pivotField showAll="0"/>
    <pivotField showAll="0">
      <items count="9">
        <item x="2"/>
        <item x="0"/>
        <item x="1"/>
        <item x="4"/>
        <item x="5"/>
        <item x="6"/>
        <item x="3"/>
        <item x="7"/>
        <item t="default"/>
      </items>
    </pivotField>
    <pivotField showAll="0"/>
    <pivotField dataField="1" showAll="0">
      <items count="41">
        <item x="14"/>
        <item x="20"/>
        <item x="38"/>
        <item x="37"/>
        <item x="6"/>
        <item x="7"/>
        <item x="17"/>
        <item x="24"/>
        <item x="36"/>
        <item x="10"/>
        <item x="34"/>
        <item x="28"/>
        <item x="3"/>
        <item x="32"/>
        <item x="26"/>
        <item x="21"/>
        <item x="11"/>
        <item x="15"/>
        <item x="25"/>
        <item x="29"/>
        <item x="8"/>
        <item x="16"/>
        <item x="30"/>
        <item x="33"/>
        <item x="1"/>
        <item x="5"/>
        <item x="2"/>
        <item x="9"/>
        <item x="12"/>
        <item x="31"/>
        <item x="23"/>
        <item x="18"/>
        <item x="0"/>
        <item x="27"/>
        <item x="35"/>
        <item x="19"/>
        <item x="22"/>
        <item x="39"/>
        <item x="4"/>
        <item x="13"/>
        <item t="default"/>
      </items>
    </pivotField>
    <pivotField axis="axisRow" showAll="0">
      <items count="4">
        <item x="0"/>
        <item x="2"/>
        <item x="1"/>
        <item t="default"/>
      </items>
    </pivotField>
    <pivotField numFmtId="14" showAll="0"/>
    <pivotField showAll="0">
      <items count="11">
        <item x="8"/>
        <item x="0"/>
        <item x="6"/>
        <item x="9"/>
        <item x="5"/>
        <item x="2"/>
        <item x="3"/>
        <item x="7"/>
        <item x="1"/>
        <item x="4"/>
        <item t="default"/>
      </items>
    </pivotField>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price" fld="6" showDataAs="percentOfTotal" baseField="0" baseItem="0" numFmtId="9"/>
    <dataField name="Count of price2" fld="6" subtotal="count" baseField="7" baseItem="0"/>
  </dataFields>
  <chartFormats count="25">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2" format="2">
      <pivotArea type="data" outline="0" fieldPosition="0">
        <references count="2">
          <reference field="4294967294" count="1" selected="0">
            <x v="0"/>
          </reference>
          <reference field="7" count="1" selected="0">
            <x v="2"/>
          </reference>
        </references>
      </pivotArea>
    </chartFormat>
    <chartFormat chart="12" format="3">
      <pivotArea type="data" outline="0" fieldPosition="0">
        <references count="2">
          <reference field="4294967294" count="1" selected="0">
            <x v="0"/>
          </reference>
          <reference field="7" count="1" selected="0">
            <x v="0"/>
          </reference>
        </references>
      </pivotArea>
    </chartFormat>
    <chartFormat chart="12" format="4">
      <pivotArea type="data" outline="0" fieldPosition="0">
        <references count="2">
          <reference field="4294967294" count="1" selected="0">
            <x v="0"/>
          </reference>
          <reference field="7" count="1" selected="0">
            <x v="1"/>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5" format="9" series="1">
      <pivotArea type="data" outline="0" fieldPosition="0">
        <references count="1">
          <reference field="4294967294" count="1" selected="0">
            <x v="1"/>
          </reference>
        </references>
      </pivotArea>
    </chartFormat>
    <chartFormat chart="25" format="10">
      <pivotArea type="data" outline="0" fieldPosition="0">
        <references count="2">
          <reference field="4294967294" count="1" selected="0">
            <x v="1"/>
          </reference>
          <reference field="7" count="1" selected="0">
            <x v="0"/>
          </reference>
        </references>
      </pivotArea>
    </chartFormat>
    <chartFormat chart="25" format="11">
      <pivotArea type="data" outline="0" fieldPosition="0">
        <references count="2">
          <reference field="4294967294" count="1" selected="0">
            <x v="1"/>
          </reference>
          <reference field="7" count="1" selected="0">
            <x v="1"/>
          </reference>
        </references>
      </pivotArea>
    </chartFormat>
    <chartFormat chart="25" format="12">
      <pivotArea type="data" outline="0" fieldPosition="0">
        <references count="2">
          <reference field="4294967294" count="1" selected="0">
            <x v="1"/>
          </reference>
          <reference field="7" count="1" selected="0">
            <x v="2"/>
          </reference>
        </references>
      </pivotArea>
    </chartFormat>
    <chartFormat chart="26" format="13" series="1">
      <pivotArea type="data" outline="0" fieldPosition="0">
        <references count="1">
          <reference field="4294967294" count="1" selected="0">
            <x v="0"/>
          </reference>
        </references>
      </pivotArea>
    </chartFormat>
    <chartFormat chart="26" format="14">
      <pivotArea type="data" outline="0" fieldPosition="0">
        <references count="2">
          <reference field="4294967294" count="1" selected="0">
            <x v="0"/>
          </reference>
          <reference field="7" count="1" selected="0">
            <x v="0"/>
          </reference>
        </references>
      </pivotArea>
    </chartFormat>
    <chartFormat chart="26" format="15">
      <pivotArea type="data" outline="0" fieldPosition="0">
        <references count="2">
          <reference field="4294967294" count="1" selected="0">
            <x v="0"/>
          </reference>
          <reference field="7" count="1" selected="0">
            <x v="1"/>
          </reference>
        </references>
      </pivotArea>
    </chartFormat>
    <chartFormat chart="26" format="16">
      <pivotArea type="data" outline="0" fieldPosition="0">
        <references count="2">
          <reference field="4294967294" count="1" selected="0">
            <x v="0"/>
          </reference>
          <reference field="7" count="1" selected="0">
            <x v="2"/>
          </reference>
        </references>
      </pivotArea>
    </chartFormat>
    <chartFormat chart="26" format="17" series="1">
      <pivotArea type="data" outline="0" fieldPosition="0">
        <references count="1">
          <reference field="4294967294" count="1" selected="0">
            <x v="1"/>
          </reference>
        </references>
      </pivotArea>
    </chartFormat>
    <chartFormat chart="26" format="18">
      <pivotArea type="data" outline="0" fieldPosition="0">
        <references count="2">
          <reference field="4294967294" count="1" selected="0">
            <x v="1"/>
          </reference>
          <reference field="7" count="1" selected="0">
            <x v="0"/>
          </reference>
        </references>
      </pivotArea>
    </chartFormat>
    <chartFormat chart="26" format="19">
      <pivotArea type="data" outline="0" fieldPosition="0">
        <references count="2">
          <reference field="4294967294" count="1" selected="0">
            <x v="1"/>
          </reference>
          <reference field="7" count="1" selected="0">
            <x v="1"/>
          </reference>
        </references>
      </pivotArea>
    </chartFormat>
    <chartFormat chart="26" format="20">
      <pivotArea type="data" outline="0" fieldPosition="0">
        <references count="2">
          <reference field="4294967294" count="1" selected="0">
            <x v="1"/>
          </reference>
          <reference field="7"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7BE4DC-538A-4927-9C2B-F0D344076823}" name="PivotTable2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ayment method" colHeaderCaption="gender">
  <location ref="H7:I11" firstHeaderRow="1" firstDataRow="1" firstDataCol="1"/>
  <pivotFields count="11">
    <pivotField showAll="0"/>
    <pivotField showAll="0"/>
    <pivotField showAll="0">
      <items count="3">
        <item x="1"/>
        <item x="0"/>
        <item t="default"/>
      </items>
    </pivotField>
    <pivotField showAll="0"/>
    <pivotField showAll="0">
      <items count="9">
        <item x="2"/>
        <item x="0"/>
        <item x="1"/>
        <item x="4"/>
        <item x="5"/>
        <item x="6"/>
        <item x="3"/>
        <item x="7"/>
        <item t="default"/>
      </items>
    </pivotField>
    <pivotField showAll="0"/>
    <pivotField showAll="0"/>
    <pivotField axis="axisRow" showAll="0">
      <items count="4">
        <item x="0"/>
        <item x="2"/>
        <item x="1"/>
        <item t="default"/>
      </items>
    </pivotField>
    <pivotField numFmtId="14" showAll="0"/>
    <pivotField showAll="0">
      <items count="11">
        <item x="8"/>
        <item x="0"/>
        <item x="6"/>
        <item x="9"/>
        <item x="5"/>
        <item x="2"/>
        <item x="3"/>
        <item x="7"/>
        <item x="1"/>
        <item x="4"/>
        <item t="default"/>
      </items>
    </pivotField>
    <pivotField dataField="1" dragToRow="0" dragToCol="0" dragToPage="0" showAll="0" defaultSubtotal="0"/>
  </pivotFields>
  <rowFields count="1">
    <field x="7"/>
  </rowFields>
  <rowItems count="4">
    <i>
      <x/>
    </i>
    <i>
      <x v="1"/>
    </i>
    <i>
      <x v="2"/>
    </i>
    <i t="grand">
      <x/>
    </i>
  </rowItems>
  <colItems count="1">
    <i/>
  </colItems>
  <dataFields count="1">
    <dataField name="Sum of Revenue" fld="10" baseField="0" baseItem="0"/>
  </dataField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1"/>
          </reference>
        </references>
      </pivotArea>
    </chartFormat>
    <chartFormat chart="9" format="2">
      <pivotArea type="data" outline="0" fieldPosition="0">
        <references count="2">
          <reference field="4294967294" count="1" selected="0">
            <x v="0"/>
          </reference>
          <reference field="7"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A025DE-598D-4CE0-B97F-44EB084E01B3}" name="PivotTable1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yment method" colHeaderCaption="gender">
  <location ref="A7:D12" firstHeaderRow="1" firstDataRow="2" firstDataCol="1"/>
  <pivotFields count="11">
    <pivotField showAll="0"/>
    <pivotField showAll="0"/>
    <pivotField axis="axisCol" showAll="0">
      <items count="3">
        <item x="1"/>
        <item x="0"/>
        <item t="default"/>
      </items>
    </pivotField>
    <pivotField showAll="0"/>
    <pivotField showAll="0">
      <items count="9">
        <item x="2"/>
        <item x="0"/>
        <item x="1"/>
        <item x="4"/>
        <item x="5"/>
        <item x="6"/>
        <item x="3"/>
        <item x="7"/>
        <item t="default"/>
      </items>
    </pivotField>
    <pivotField dataField="1" showAll="0"/>
    <pivotField showAll="0"/>
    <pivotField axis="axisRow" showAll="0">
      <items count="4">
        <item x="0"/>
        <item x="2"/>
        <item x="1"/>
        <item t="default"/>
      </items>
    </pivotField>
    <pivotField numFmtId="14" showAll="0"/>
    <pivotField showAll="0">
      <items count="11">
        <item x="8"/>
        <item x="0"/>
        <item x="6"/>
        <item x="9"/>
        <item x="5"/>
        <item x="2"/>
        <item x="3"/>
        <item x="7"/>
        <item x="1"/>
        <item x="4"/>
        <item t="default"/>
      </items>
    </pivotField>
    <pivotField dragToRow="0" dragToCol="0" dragToPage="0" showAll="0" defaultSubtotal="0"/>
  </pivotFields>
  <rowFields count="1">
    <field x="7"/>
  </rowFields>
  <rowItems count="4">
    <i>
      <x/>
    </i>
    <i>
      <x v="1"/>
    </i>
    <i>
      <x v="2"/>
    </i>
    <i t="grand">
      <x/>
    </i>
  </rowItems>
  <colFields count="1">
    <field x="2"/>
  </colFields>
  <colItems count="3">
    <i>
      <x/>
    </i>
    <i>
      <x v="1"/>
    </i>
    <i t="grand">
      <x/>
    </i>
  </colItems>
  <dataFields count="1">
    <dataField name="Total quantity" fld="5" baseField="0" baseItem="0"/>
  </dataFields>
  <chartFormats count="7">
    <chartFormat chart="7" format="2" series="1">
      <pivotArea type="data" outline="0" fieldPosition="0">
        <references count="1">
          <reference field="2" count="1" selected="0">
            <x v="0"/>
          </reference>
        </references>
      </pivotArea>
    </chartFormat>
    <chartFormat chart="7" format="3" series="1">
      <pivotArea type="data" outline="0" fieldPosition="0">
        <references count="1">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pivotArea type="data" outline="0" fieldPosition="0">
        <references count="3">
          <reference field="4294967294" count="1" selected="0">
            <x v="0"/>
          </reference>
          <reference field="2" count="1" selected="0">
            <x v="1"/>
          </reference>
          <reference field="7" count="1" selected="0">
            <x v="0"/>
          </reference>
        </references>
      </pivotArea>
    </chartFormat>
    <chartFormat chart="7" format="7">
      <pivotArea type="data" outline="0" fieldPosition="0">
        <references count="3">
          <reference field="4294967294" count="1" selected="0">
            <x v="0"/>
          </reference>
          <reference field="2" count="1" selected="0">
            <x v="1"/>
          </reference>
          <reference field="7" count="1" selected="0">
            <x v="1"/>
          </reference>
        </references>
      </pivotArea>
    </chartFormat>
    <chartFormat chart="7" format="8">
      <pivotArea type="data" outline="0" fieldPosition="0">
        <references count="3">
          <reference field="4294967294" count="1" selected="0">
            <x v="0"/>
          </reference>
          <reference field="2" count="1" selected="0">
            <x v="1"/>
          </reference>
          <reference field="7"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90503F-150A-487B-A6DD-5B611D5235D2}" sourceName="gender">
  <pivotTables>
    <pivotTable tabId="3" name="PivotTable10"/>
    <pivotTable tabId="3" name="PivotTable5"/>
    <pivotTable tabId="3" name="PivotTable9"/>
    <pivotTable tabId="3" name="PivotTable12"/>
  </pivotTables>
  <data>
    <tabular pivotCacheId="2629847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ping_mall" xr10:uid="{AD79932A-0616-4317-A20D-51236332CB2D}" sourceName="shopping_mall">
  <pivotTables>
    <pivotTable tabId="3" name="PivotTable10"/>
    <pivotTable tabId="3" name="PivotTable5"/>
    <pivotTable tabId="3" name="PivotTable9"/>
    <pivotTable tabId="3" name="PivotTable12"/>
  </pivotTables>
  <data>
    <tabular pivotCacheId="26298472">
      <items count="10">
        <i x="8" s="1"/>
        <i x="0" s="1"/>
        <i x="6" s="1"/>
        <i x="9" s="1"/>
        <i x="5" s="1"/>
        <i x="2" s="1"/>
        <i x="3" s="1"/>
        <i x="7"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900BAB-8710-49AF-AC8A-6568022CAA9F}" sourceName="category">
  <pivotTables>
    <pivotTable tabId="3" name="PivotTable10"/>
    <pivotTable tabId="3" name="PivotTable5"/>
    <pivotTable tabId="3" name="PivotTable9"/>
    <pivotTable tabId="3" name="PivotTable12"/>
  </pivotTables>
  <data>
    <tabular pivotCacheId="26298472">
      <items count="8">
        <i x="2" s="1"/>
        <i x="0" s="1"/>
        <i x="1" s="1"/>
        <i x="4" s="1"/>
        <i x="5" s="1"/>
        <i x="6" s="1"/>
        <i x="3"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BDD92B2-0E2A-4D13-9594-029B50FB7449}" sourceName="gender">
  <pivotTables>
    <pivotTable tabId="9" name="PivotTable15"/>
    <pivotTable tabId="9" name="PivotTable14"/>
    <pivotTable tabId="9" name="PivotTable17"/>
    <pivotTable tabId="9" name="PivotTable18"/>
  </pivotTables>
  <data>
    <tabular pivotCacheId="865580142">
      <items count="3">
        <i x="1" s="1"/>
        <i x="0" s="1"/>
        <i x="2"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ping_mall1" xr10:uid="{98553A13-F1FA-4D1F-8F42-DBF6DE9B4DF3}" sourceName="shopping_mall">
  <pivotTables>
    <pivotTable tabId="9" name="PivotTable15"/>
    <pivotTable tabId="9" name="PivotTable14"/>
    <pivotTable tabId="9" name="PivotTable17"/>
    <pivotTable tabId="9" name="PivotTable18"/>
  </pivotTables>
  <data>
    <tabular pivotCacheId="865580142">
      <items count="11">
        <i x="8" s="1"/>
        <i x="0" s="1"/>
        <i x="6" s="1"/>
        <i x="9" s="1"/>
        <i x="5" s="1"/>
        <i x="2" s="1"/>
        <i x="3" s="1"/>
        <i x="7" s="1"/>
        <i x="1" s="1"/>
        <i x="4" s="1"/>
        <i x="10"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4786D93-2AF1-4C6A-A9F8-DA52680CC134}" sourceName="category">
  <pivotTables>
    <pivotTable tabId="9" name="PivotTable15"/>
    <pivotTable tabId="9" name="PivotTable17"/>
    <pivotTable tabId="9" name="PivotTable18"/>
  </pivotTables>
  <data>
    <tabular pivotCacheId="865580142">
      <items count="9">
        <i x="2" s="1"/>
        <i x="0" s="1"/>
        <i x="1" s="1"/>
        <i x="4" s="1"/>
        <i x="5" s="1"/>
        <i x="6" s="1"/>
        <i x="3" s="1"/>
        <i x="7" s="1"/>
        <i x="8"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1B2BAAA8-0A59-494B-B811-331A8E39CDC6}" sourceName="gender">
  <pivotTables>
    <pivotTable tabId="13" name="PivotTable19"/>
    <pivotTable tabId="13" name="PivotTable20"/>
    <pivotTable tabId="13" name="PivotTable21"/>
  </pivotTables>
  <data>
    <tabular pivotCacheId="26298472">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ping_mall2" xr10:uid="{DE0DF6EB-821F-4BB4-8509-FCA60207253B}" sourceName="shopping_mall">
  <pivotTables>
    <pivotTable tabId="13" name="PivotTable19"/>
    <pivotTable tabId="13" name="PivotTable20"/>
    <pivotTable tabId="13" name="PivotTable21"/>
  </pivotTables>
  <data>
    <tabular pivotCacheId="26298472">
      <items count="10">
        <i x="8" s="1"/>
        <i x="0" s="1"/>
        <i x="6" s="1"/>
        <i x="9" s="1"/>
        <i x="5" s="1"/>
        <i x="2" s="1"/>
        <i x="3" s="1"/>
        <i x="7" s="1"/>
        <i x="1"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8802967-EA65-44F1-8810-27B7C0F102FB}" sourceName="category">
  <pivotTables>
    <pivotTable tabId="13" name="PivotTable19"/>
    <pivotTable tabId="13" name="PivotTable20"/>
    <pivotTable tabId="13" name="PivotTable21"/>
  </pivotTables>
  <data>
    <tabular pivotCacheId="26298472">
      <items count="8">
        <i x="2" s="1"/>
        <i x="0" s="1"/>
        <i x="1" s="1"/>
        <i x="4" s="1"/>
        <i x="5" s="1"/>
        <i x="6"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2FF20D9-9BAB-4B0B-8222-29A2B25B3FC9}" cache="Slicer_gender" caption="gender" rowHeight="234950"/>
  <slicer name="shopping_mall" xr10:uid="{809A4F44-A4AE-4F08-BBBF-3E8AF54F7D40}" cache="Slicer_shopping_mall" caption="shopping_mall" startItem="6" rowHeight="234950"/>
  <slicer name="category" xr10:uid="{3A9ECE52-4644-48B0-8742-BF5CFB141650}"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6F3D365-0D62-4D67-942D-863469D344C1}" cache="Slicer_gender1" caption="gender" rowHeight="234950"/>
  <slicer name="shopping_mall 1" xr10:uid="{2B15BF18-D878-4D02-BF3C-52C3A0E14263}" cache="Slicer_shopping_mall1" caption="shopping_mall" rowHeight="234950"/>
  <slicer name="category 1" xr10:uid="{46CA38E2-6329-471E-8BAD-910B3DF71364}" cache="Slicer_category1"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05E52DF-E7AD-4150-B362-034AB6E6B62D}" cache="Slicer_gender2" caption="gender" rowHeight="234950"/>
  <slicer name="shopping_mall 2" xr10:uid="{1E2B6833-15E7-4F95-8839-11D9C45C43FD}" cache="Slicer_shopping_mall2" caption="shopping_mall" rowHeight="234950"/>
  <slicer name="category 2" xr10:uid="{015FAFCD-C93C-4933-B561-3D908C783F6C}" cache="Slicer_category2"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2EDB9B-5CDE-41D1-B614-D4168B8DD497}" name="Table4" displayName="Table4" ref="A3:K268" totalsRowShown="0">
  <autoFilter ref="A3:K268" xr:uid="{402EDB9B-5CDE-41D1-B614-D4168B8DD497}"/>
  <tableColumns count="11">
    <tableColumn id="1" xr3:uid="{BFA3F989-D407-457B-B2CC-170509BE233B}" name="invoice_no"/>
    <tableColumn id="2" xr3:uid="{C5CE4DE3-FA55-4A7A-B440-64E4011E4556}" name="customer_id"/>
    <tableColumn id="3" xr3:uid="{5FB122F1-F4CA-488C-8200-FBC68C5BD50C}" name="gender"/>
    <tableColumn id="4" xr3:uid="{D2572BF6-C31C-454A-AD10-1F844BD8F8F8}" name="age"/>
    <tableColumn id="5" xr3:uid="{D111A5A9-9F04-47D0-94F8-1AE4C5C6B7A9}" name="age group"/>
    <tableColumn id="6" xr3:uid="{825EADE1-9973-4ADE-A94F-B565A3FEBAEC}" name="category"/>
    <tableColumn id="7" xr3:uid="{968439CB-273B-48EB-B375-BC635B30060E}" name="quantity"/>
    <tableColumn id="8" xr3:uid="{6CF7DB5D-4F2E-4BB5-BCFF-179DD7CE6B1D}" name="price"/>
    <tableColumn id="9" xr3:uid="{0B48E50D-07D5-433E-B941-D852B066BED3}" name="payment_method"/>
    <tableColumn id="10" xr3:uid="{E63B4D9B-1C05-4B37-8AF4-CDB212A9144E}" name="invoice_date" dataDxfId="2"/>
    <tableColumn id="11" xr3:uid="{CEB3B8F2-882E-4EC6-928F-8A2D26246011}" name="shopping_mal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3.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2AFA-F7A1-408D-A5DB-05B6F5CD483C}">
  <dimension ref="A1:L1001"/>
  <sheetViews>
    <sheetView workbookViewId="0">
      <selection sqref="A1:K1001"/>
    </sheetView>
  </sheetViews>
  <sheetFormatPr defaultRowHeight="14.4" x14ac:dyDescent="0.3"/>
  <cols>
    <col min="1" max="1" width="9.88671875" bestFit="1" customWidth="1"/>
    <col min="2" max="2" width="11.109375" bestFit="1" customWidth="1"/>
    <col min="9" max="9" width="15.5546875" bestFit="1" customWidth="1"/>
    <col min="10" max="10" width="11.44140625" bestFit="1" customWidth="1"/>
  </cols>
  <sheetData>
    <row r="1" spans="1:12" x14ac:dyDescent="0.3">
      <c r="A1" s="8" t="s">
        <v>0</v>
      </c>
      <c r="B1" s="8" t="s">
        <v>1</v>
      </c>
      <c r="C1" s="8" t="s">
        <v>2</v>
      </c>
      <c r="D1" s="8" t="s">
        <v>3</v>
      </c>
      <c r="E1" s="8" t="s">
        <v>2043</v>
      </c>
      <c r="F1" s="8" t="s">
        <v>4</v>
      </c>
      <c r="G1" s="8" t="s">
        <v>5</v>
      </c>
      <c r="H1" s="8" t="s">
        <v>6</v>
      </c>
      <c r="I1" s="8" t="s">
        <v>7</v>
      </c>
      <c r="J1" s="8" t="s">
        <v>8</v>
      </c>
      <c r="K1" s="8" t="s">
        <v>9</v>
      </c>
      <c r="L1" s="8"/>
    </row>
    <row r="2" spans="1:12" x14ac:dyDescent="0.3">
      <c r="A2" t="s">
        <v>10</v>
      </c>
      <c r="B2" t="s">
        <v>11</v>
      </c>
      <c r="C2" t="s">
        <v>12</v>
      </c>
      <c r="D2">
        <v>65</v>
      </c>
      <c r="E2" s="20" t="str">
        <f>IF(D2&lt;18,"Below 18",IF(D2&lt;=25,"18-25",IF(D2&lt;=35,"26-35",IF(D2&lt;=45,"36-45",IF(D2&lt;=60,"46-60","60+")))))</f>
        <v>60+</v>
      </c>
      <c r="F2" t="s">
        <v>13</v>
      </c>
      <c r="G2">
        <v>5</v>
      </c>
      <c r="H2">
        <v>1500.4</v>
      </c>
      <c r="I2" t="s">
        <v>14</v>
      </c>
      <c r="J2" s="1">
        <v>44752</v>
      </c>
      <c r="K2" t="s">
        <v>15</v>
      </c>
    </row>
    <row r="3" spans="1:12" x14ac:dyDescent="0.3">
      <c r="A3" t="s">
        <v>16</v>
      </c>
      <c r="B3" t="s">
        <v>17</v>
      </c>
      <c r="C3" t="s">
        <v>12</v>
      </c>
      <c r="D3">
        <v>55</v>
      </c>
      <c r="E3" s="20" t="str">
        <f t="shared" ref="E3:E66" si="0">IF(D3&lt;18,"Below 18",IF(D3&lt;=25,"18-25",IF(D3&lt;=35,"26-35",IF(D3&lt;=45,"36-45",IF(D3&lt;=60,"46-60","60+")))))</f>
        <v>46-60</v>
      </c>
      <c r="F3" t="s">
        <v>18</v>
      </c>
      <c r="G3">
        <v>5</v>
      </c>
      <c r="H3">
        <v>203.3</v>
      </c>
      <c r="I3" t="s">
        <v>14</v>
      </c>
      <c r="J3" s="1">
        <v>44365</v>
      </c>
      <c r="K3" t="s">
        <v>19</v>
      </c>
    </row>
    <row r="4" spans="1:12" x14ac:dyDescent="0.3">
      <c r="A4" t="s">
        <v>20</v>
      </c>
      <c r="B4" t="s">
        <v>21</v>
      </c>
      <c r="C4" t="s">
        <v>22</v>
      </c>
      <c r="D4">
        <v>35</v>
      </c>
      <c r="E4" s="20" t="str">
        <f t="shared" si="0"/>
        <v>26-35</v>
      </c>
      <c r="F4" t="s">
        <v>13</v>
      </c>
      <c r="G4">
        <v>2</v>
      </c>
      <c r="H4">
        <v>600.16</v>
      </c>
      <c r="I4" t="s">
        <v>23</v>
      </c>
      <c r="J4" s="1">
        <v>44259</v>
      </c>
      <c r="K4" t="s">
        <v>24</v>
      </c>
    </row>
    <row r="5" spans="1:12" x14ac:dyDescent="0.3">
      <c r="A5" t="s">
        <v>25</v>
      </c>
      <c r="B5" t="s">
        <v>26</v>
      </c>
      <c r="C5" t="s">
        <v>22</v>
      </c>
      <c r="D5">
        <v>67</v>
      </c>
      <c r="E5" s="20" t="str">
        <f t="shared" si="0"/>
        <v>60+</v>
      </c>
      <c r="F5" t="s">
        <v>27</v>
      </c>
      <c r="G5">
        <v>3</v>
      </c>
      <c r="H5">
        <v>45.45</v>
      </c>
      <c r="I5" t="s">
        <v>28</v>
      </c>
      <c r="J5" s="1">
        <v>44931</v>
      </c>
      <c r="K5" t="s">
        <v>15</v>
      </c>
    </row>
    <row r="6" spans="1:12" x14ac:dyDescent="0.3">
      <c r="A6" t="s">
        <v>29</v>
      </c>
      <c r="B6" t="s">
        <v>30</v>
      </c>
      <c r="C6" t="s">
        <v>22</v>
      </c>
      <c r="D6">
        <v>19</v>
      </c>
      <c r="E6" s="20" t="str">
        <f t="shared" si="0"/>
        <v>18-25</v>
      </c>
      <c r="F6" t="s">
        <v>31</v>
      </c>
      <c r="G6">
        <v>4</v>
      </c>
      <c r="H6">
        <v>4200</v>
      </c>
      <c r="I6" t="s">
        <v>14</v>
      </c>
      <c r="J6" s="1">
        <v>44699</v>
      </c>
      <c r="K6" t="s">
        <v>24</v>
      </c>
    </row>
    <row r="7" spans="1:12" x14ac:dyDescent="0.3">
      <c r="A7" t="s">
        <v>32</v>
      </c>
      <c r="B7" t="s">
        <v>33</v>
      </c>
      <c r="C7" t="s">
        <v>22</v>
      </c>
      <c r="D7">
        <v>18</v>
      </c>
      <c r="E7" s="20" t="str">
        <f t="shared" si="0"/>
        <v>18-25</v>
      </c>
      <c r="F7" t="s">
        <v>13</v>
      </c>
      <c r="G7">
        <v>1</v>
      </c>
      <c r="H7">
        <v>300.08</v>
      </c>
      <c r="I7" t="s">
        <v>28</v>
      </c>
      <c r="J7" s="1">
        <v>44366</v>
      </c>
      <c r="K7" t="s">
        <v>34</v>
      </c>
    </row>
    <row r="8" spans="1:12" x14ac:dyDescent="0.3">
      <c r="A8" t="s">
        <v>35</v>
      </c>
      <c r="B8" t="s">
        <v>36</v>
      </c>
      <c r="C8" t="s">
        <v>12</v>
      </c>
      <c r="D8">
        <v>18</v>
      </c>
      <c r="E8" s="20" t="str">
        <f t="shared" si="0"/>
        <v>18-25</v>
      </c>
      <c r="F8" t="s">
        <v>37</v>
      </c>
      <c r="G8">
        <v>3</v>
      </c>
      <c r="H8">
        <v>15.69</v>
      </c>
      <c r="I8" t="s">
        <v>28</v>
      </c>
      <c r="J8" s="1">
        <v>44735</v>
      </c>
      <c r="K8" t="s">
        <v>15</v>
      </c>
    </row>
    <row r="9" spans="1:12" x14ac:dyDescent="0.3">
      <c r="A9" t="s">
        <v>38</v>
      </c>
      <c r="B9" t="s">
        <v>39</v>
      </c>
      <c r="C9" t="s">
        <v>12</v>
      </c>
      <c r="D9">
        <v>56</v>
      </c>
      <c r="E9" s="20" t="str">
        <f t="shared" si="0"/>
        <v>46-60</v>
      </c>
      <c r="F9" t="s">
        <v>37</v>
      </c>
      <c r="G9">
        <v>4</v>
      </c>
      <c r="H9">
        <v>20.92</v>
      </c>
      <c r="I9" t="s">
        <v>28</v>
      </c>
      <c r="J9" s="1">
        <v>44488</v>
      </c>
      <c r="K9" t="s">
        <v>40</v>
      </c>
    </row>
    <row r="10" spans="1:12" x14ac:dyDescent="0.3">
      <c r="A10" t="s">
        <v>41</v>
      </c>
      <c r="B10" t="s">
        <v>42</v>
      </c>
      <c r="C10" t="s">
        <v>22</v>
      </c>
      <c r="D10">
        <v>63</v>
      </c>
      <c r="E10" s="20" t="str">
        <f t="shared" si="0"/>
        <v>60+</v>
      </c>
      <c r="F10" t="s">
        <v>13</v>
      </c>
      <c r="G10">
        <v>1</v>
      </c>
      <c r="H10">
        <v>300.08</v>
      </c>
      <c r="I10" t="s">
        <v>23</v>
      </c>
      <c r="J10" s="1">
        <v>44353</v>
      </c>
      <c r="K10" t="s">
        <v>43</v>
      </c>
    </row>
    <row r="11" spans="1:12" x14ac:dyDescent="0.3">
      <c r="A11" t="s">
        <v>44</v>
      </c>
      <c r="B11" t="s">
        <v>45</v>
      </c>
      <c r="C11" t="s">
        <v>22</v>
      </c>
      <c r="D11">
        <v>50</v>
      </c>
      <c r="E11" s="20" t="str">
        <f t="shared" si="0"/>
        <v>46-60</v>
      </c>
      <c r="F11" t="s">
        <v>18</v>
      </c>
      <c r="G11">
        <v>3</v>
      </c>
      <c r="H11">
        <v>121.98</v>
      </c>
      <c r="I11" t="s">
        <v>14</v>
      </c>
      <c r="J11" s="1">
        <v>44766</v>
      </c>
      <c r="K11" t="s">
        <v>24</v>
      </c>
    </row>
    <row r="12" spans="1:12" x14ac:dyDescent="0.3">
      <c r="A12" t="s">
        <v>46</v>
      </c>
      <c r="B12" t="s">
        <v>47</v>
      </c>
      <c r="C12" t="s">
        <v>12</v>
      </c>
      <c r="D12">
        <v>39</v>
      </c>
      <c r="E12" s="20" t="str">
        <f t="shared" si="0"/>
        <v>36-45</v>
      </c>
      <c r="F12" t="s">
        <v>48</v>
      </c>
      <c r="G12">
        <v>1</v>
      </c>
      <c r="H12">
        <v>600.16999999999996</v>
      </c>
      <c r="I12" t="s">
        <v>23</v>
      </c>
      <c r="J12" s="1">
        <v>44556</v>
      </c>
      <c r="K12" t="s">
        <v>24</v>
      </c>
    </row>
    <row r="13" spans="1:12" x14ac:dyDescent="0.3">
      <c r="A13" t="s">
        <v>49</v>
      </c>
      <c r="B13" t="s">
        <v>50</v>
      </c>
      <c r="C13" t="s">
        <v>22</v>
      </c>
      <c r="D13">
        <v>21</v>
      </c>
      <c r="E13" s="20" t="str">
        <f t="shared" si="0"/>
        <v>18-25</v>
      </c>
      <c r="F13" t="s">
        <v>18</v>
      </c>
      <c r="G13">
        <v>3</v>
      </c>
      <c r="H13">
        <v>121.98</v>
      </c>
      <c r="I13" t="s">
        <v>28</v>
      </c>
      <c r="J13" s="1">
        <v>44928</v>
      </c>
      <c r="K13" t="s">
        <v>34</v>
      </c>
    </row>
    <row r="14" spans="1:12" x14ac:dyDescent="0.3">
      <c r="A14" t="s">
        <v>51</v>
      </c>
      <c r="B14" t="s">
        <v>52</v>
      </c>
      <c r="C14" t="s">
        <v>22</v>
      </c>
      <c r="D14">
        <v>25</v>
      </c>
      <c r="E14" s="20" t="str">
        <f t="shared" si="0"/>
        <v>18-25</v>
      </c>
      <c r="F14" t="s">
        <v>13</v>
      </c>
      <c r="G14">
        <v>2</v>
      </c>
      <c r="H14">
        <v>600.16</v>
      </c>
      <c r="I14" t="s">
        <v>28</v>
      </c>
      <c r="J14" s="1">
        <v>44482</v>
      </c>
      <c r="K14" t="s">
        <v>53</v>
      </c>
    </row>
    <row r="15" spans="1:12" x14ac:dyDescent="0.3">
      <c r="A15" t="s">
        <v>54</v>
      </c>
      <c r="B15" t="s">
        <v>55</v>
      </c>
      <c r="C15" t="s">
        <v>22</v>
      </c>
      <c r="D15">
        <v>52</v>
      </c>
      <c r="E15" s="20" t="str">
        <f t="shared" si="0"/>
        <v>46-60</v>
      </c>
      <c r="F15" t="s">
        <v>56</v>
      </c>
      <c r="G15">
        <v>3</v>
      </c>
      <c r="H15">
        <v>35.19</v>
      </c>
      <c r="I15" t="s">
        <v>23</v>
      </c>
      <c r="J15" s="1">
        <v>44361</v>
      </c>
      <c r="K15" t="s">
        <v>34</v>
      </c>
    </row>
    <row r="16" spans="1:12" x14ac:dyDescent="0.3">
      <c r="A16" t="s">
        <v>57</v>
      </c>
      <c r="B16" t="s">
        <v>58</v>
      </c>
      <c r="C16" t="s">
        <v>22</v>
      </c>
      <c r="D16">
        <v>52</v>
      </c>
      <c r="E16" s="20" t="str">
        <f t="shared" si="0"/>
        <v>46-60</v>
      </c>
      <c r="F16" t="s">
        <v>59</v>
      </c>
      <c r="G16">
        <v>2</v>
      </c>
      <c r="H16">
        <v>71.680000000000007</v>
      </c>
      <c r="I16" t="s">
        <v>28</v>
      </c>
      <c r="J16" s="1">
        <v>44421</v>
      </c>
      <c r="K16" t="s">
        <v>60</v>
      </c>
    </row>
    <row r="17" spans="1:11" x14ac:dyDescent="0.3">
      <c r="A17" t="s">
        <v>61</v>
      </c>
      <c r="B17" t="s">
        <v>62</v>
      </c>
      <c r="C17" t="s">
        <v>22</v>
      </c>
      <c r="D17">
        <v>30</v>
      </c>
      <c r="E17" s="20" t="str">
        <f t="shared" si="0"/>
        <v>26-35</v>
      </c>
      <c r="F17" t="s">
        <v>13</v>
      </c>
      <c r="G17">
        <v>3</v>
      </c>
      <c r="H17">
        <v>900.24</v>
      </c>
      <c r="I17" t="s">
        <v>14</v>
      </c>
      <c r="J17" s="1">
        <v>44485</v>
      </c>
      <c r="K17" t="s">
        <v>24</v>
      </c>
    </row>
    <row r="18" spans="1:11" x14ac:dyDescent="0.3">
      <c r="A18" t="s">
        <v>63</v>
      </c>
      <c r="B18" t="s">
        <v>64</v>
      </c>
      <c r="C18" t="s">
        <v>12</v>
      </c>
      <c r="D18">
        <v>64</v>
      </c>
      <c r="E18" s="20" t="str">
        <f t="shared" si="0"/>
        <v>60+</v>
      </c>
      <c r="F18" t="s">
        <v>31</v>
      </c>
      <c r="G18">
        <v>5</v>
      </c>
      <c r="H18">
        <v>5250</v>
      </c>
      <c r="I18" t="s">
        <v>23</v>
      </c>
      <c r="J18" s="1">
        <v>44418</v>
      </c>
      <c r="K18" t="s">
        <v>60</v>
      </c>
    </row>
    <row r="19" spans="1:11" x14ac:dyDescent="0.3">
      <c r="A19" t="s">
        <v>65</v>
      </c>
      <c r="B19" t="s">
        <v>66</v>
      </c>
      <c r="C19" t="s">
        <v>12</v>
      </c>
      <c r="D19">
        <v>46</v>
      </c>
      <c r="E19" s="20" t="str">
        <f t="shared" si="0"/>
        <v>46-60</v>
      </c>
      <c r="F19" t="s">
        <v>37</v>
      </c>
      <c r="G19">
        <v>1</v>
      </c>
      <c r="H19">
        <v>5.23</v>
      </c>
      <c r="I19" t="s">
        <v>28</v>
      </c>
      <c r="J19" s="1">
        <v>44230</v>
      </c>
      <c r="K19" t="s">
        <v>15</v>
      </c>
    </row>
    <row r="20" spans="1:11" x14ac:dyDescent="0.3">
      <c r="A20" t="s">
        <v>67</v>
      </c>
      <c r="B20" t="s">
        <v>68</v>
      </c>
      <c r="C20" t="s">
        <v>12</v>
      </c>
      <c r="D20">
        <v>46</v>
      </c>
      <c r="E20" s="20" t="str">
        <f t="shared" si="0"/>
        <v>46-60</v>
      </c>
      <c r="F20" t="s">
        <v>27</v>
      </c>
      <c r="G20">
        <v>5</v>
      </c>
      <c r="H20">
        <v>75.75</v>
      </c>
      <c r="I20" t="s">
        <v>28</v>
      </c>
      <c r="J20" s="1">
        <v>44387</v>
      </c>
      <c r="K20" t="s">
        <v>24</v>
      </c>
    </row>
    <row r="21" spans="1:11" x14ac:dyDescent="0.3">
      <c r="A21" t="s">
        <v>69</v>
      </c>
      <c r="B21" t="s">
        <v>70</v>
      </c>
      <c r="C21" t="s">
        <v>12</v>
      </c>
      <c r="D21">
        <v>55</v>
      </c>
      <c r="E21" s="20" t="str">
        <f t="shared" si="0"/>
        <v>46-60</v>
      </c>
      <c r="F21" t="s">
        <v>59</v>
      </c>
      <c r="G21">
        <v>4</v>
      </c>
      <c r="H21">
        <v>143.36000000000001</v>
      </c>
      <c r="I21" t="s">
        <v>28</v>
      </c>
      <c r="J21" s="1">
        <v>44677</v>
      </c>
      <c r="K21" t="s">
        <v>60</v>
      </c>
    </row>
    <row r="22" spans="1:11" x14ac:dyDescent="0.3">
      <c r="A22" t="s">
        <v>71</v>
      </c>
      <c r="B22" t="s">
        <v>72</v>
      </c>
      <c r="C22" t="s">
        <v>22</v>
      </c>
      <c r="D22">
        <v>44</v>
      </c>
      <c r="E22" s="20" t="str">
        <f t="shared" si="0"/>
        <v>36-45</v>
      </c>
      <c r="F22" t="s">
        <v>56</v>
      </c>
      <c r="G22">
        <v>2</v>
      </c>
      <c r="H22">
        <v>23.46</v>
      </c>
      <c r="I22" t="s">
        <v>14</v>
      </c>
      <c r="J22" s="1">
        <v>44561</v>
      </c>
      <c r="K22" t="s">
        <v>73</v>
      </c>
    </row>
    <row r="23" spans="1:11" x14ac:dyDescent="0.3">
      <c r="A23" t="s">
        <v>74</v>
      </c>
      <c r="B23" t="s">
        <v>75</v>
      </c>
      <c r="C23" t="s">
        <v>22</v>
      </c>
      <c r="D23">
        <v>68</v>
      </c>
      <c r="E23" s="20" t="str">
        <f t="shared" si="0"/>
        <v>60+</v>
      </c>
      <c r="F23" t="s">
        <v>48</v>
      </c>
      <c r="G23">
        <v>2</v>
      </c>
      <c r="H23">
        <v>1200.3399999999999</v>
      </c>
      <c r="I23" t="s">
        <v>28</v>
      </c>
      <c r="J23" s="1">
        <v>44843</v>
      </c>
      <c r="K23" t="s">
        <v>43</v>
      </c>
    </row>
    <row r="24" spans="1:11" x14ac:dyDescent="0.3">
      <c r="A24" t="s">
        <v>76</v>
      </c>
      <c r="B24" t="s">
        <v>77</v>
      </c>
      <c r="C24" t="s">
        <v>22</v>
      </c>
      <c r="D24">
        <v>63</v>
      </c>
      <c r="E24" s="20" t="str">
        <f t="shared" si="0"/>
        <v>60+</v>
      </c>
      <c r="F24" t="s">
        <v>13</v>
      </c>
      <c r="G24">
        <v>5</v>
      </c>
      <c r="H24">
        <v>1500.4</v>
      </c>
      <c r="I24" t="s">
        <v>14</v>
      </c>
      <c r="J24" s="1">
        <v>44647</v>
      </c>
      <c r="K24" t="s">
        <v>15</v>
      </c>
    </row>
    <row r="25" spans="1:11" x14ac:dyDescent="0.3">
      <c r="A25" t="s">
        <v>78</v>
      </c>
      <c r="B25" t="s">
        <v>79</v>
      </c>
      <c r="C25" t="s">
        <v>22</v>
      </c>
      <c r="D25">
        <v>27</v>
      </c>
      <c r="E25" s="20" t="str">
        <f t="shared" si="0"/>
        <v>26-35</v>
      </c>
      <c r="F25" t="s">
        <v>48</v>
      </c>
      <c r="G25">
        <v>4</v>
      </c>
      <c r="H25">
        <v>2400.6799999999998</v>
      </c>
      <c r="I25" t="s">
        <v>28</v>
      </c>
      <c r="J25" s="1">
        <v>44303</v>
      </c>
      <c r="K25" t="s">
        <v>34</v>
      </c>
    </row>
    <row r="26" spans="1:11" x14ac:dyDescent="0.3">
      <c r="A26" t="s">
        <v>80</v>
      </c>
      <c r="B26" t="s">
        <v>81</v>
      </c>
      <c r="C26" t="s">
        <v>22</v>
      </c>
      <c r="D26">
        <v>68</v>
      </c>
      <c r="E26" s="20" t="str">
        <f t="shared" si="0"/>
        <v>60+</v>
      </c>
      <c r="F26" t="s">
        <v>59</v>
      </c>
      <c r="G26">
        <v>2</v>
      </c>
      <c r="H26">
        <v>71.680000000000007</v>
      </c>
      <c r="I26" t="s">
        <v>14</v>
      </c>
      <c r="J26" s="1">
        <v>44548</v>
      </c>
      <c r="K26" t="s">
        <v>60</v>
      </c>
    </row>
    <row r="27" spans="1:11" x14ac:dyDescent="0.3">
      <c r="A27" t="s">
        <v>82</v>
      </c>
      <c r="B27" t="s">
        <v>83</v>
      </c>
      <c r="C27" t="s">
        <v>12</v>
      </c>
      <c r="D27">
        <v>60</v>
      </c>
      <c r="E27" s="20" t="str">
        <f t="shared" si="0"/>
        <v>46-60</v>
      </c>
      <c r="F27" t="s">
        <v>13</v>
      </c>
      <c r="G27">
        <v>2</v>
      </c>
      <c r="H27">
        <v>600.16</v>
      </c>
      <c r="I27" t="s">
        <v>14</v>
      </c>
      <c r="J27" s="1">
        <v>44523</v>
      </c>
      <c r="K27" t="s">
        <v>84</v>
      </c>
    </row>
    <row r="28" spans="1:11" x14ac:dyDescent="0.3">
      <c r="A28" t="s">
        <v>85</v>
      </c>
      <c r="B28" t="s">
        <v>86</v>
      </c>
      <c r="C28" t="s">
        <v>22</v>
      </c>
      <c r="D28">
        <v>63</v>
      </c>
      <c r="E28" s="20" t="str">
        <f t="shared" si="0"/>
        <v>60+</v>
      </c>
      <c r="F28" t="s">
        <v>37</v>
      </c>
      <c r="G28">
        <v>4</v>
      </c>
      <c r="H28">
        <v>20.92</v>
      </c>
      <c r="I28" t="s">
        <v>28</v>
      </c>
      <c r="J28" s="1">
        <v>44797</v>
      </c>
      <c r="K28" t="s">
        <v>24</v>
      </c>
    </row>
    <row r="29" spans="1:11" x14ac:dyDescent="0.3">
      <c r="A29" t="s">
        <v>87</v>
      </c>
      <c r="B29" t="s">
        <v>88</v>
      </c>
      <c r="C29" t="s">
        <v>12</v>
      </c>
      <c r="D29">
        <v>49</v>
      </c>
      <c r="E29" s="20" t="str">
        <f t="shared" si="0"/>
        <v>46-60</v>
      </c>
      <c r="F29" t="s">
        <v>13</v>
      </c>
      <c r="G29">
        <v>5</v>
      </c>
      <c r="H29">
        <v>1500.4</v>
      </c>
      <c r="I29" t="s">
        <v>14</v>
      </c>
      <c r="J29" s="1">
        <v>44516</v>
      </c>
      <c r="K29" t="s">
        <v>73</v>
      </c>
    </row>
    <row r="30" spans="1:11" x14ac:dyDescent="0.3">
      <c r="A30" t="s">
        <v>89</v>
      </c>
      <c r="B30" t="s">
        <v>90</v>
      </c>
      <c r="C30" t="s">
        <v>12</v>
      </c>
      <c r="D30">
        <v>39</v>
      </c>
      <c r="E30" s="20" t="str">
        <f t="shared" si="0"/>
        <v>36-45</v>
      </c>
      <c r="F30" t="s">
        <v>37</v>
      </c>
      <c r="G30">
        <v>4</v>
      </c>
      <c r="H30">
        <v>20.92</v>
      </c>
      <c r="I30" t="s">
        <v>23</v>
      </c>
      <c r="J30" s="1">
        <v>44666</v>
      </c>
      <c r="K30" t="s">
        <v>43</v>
      </c>
    </row>
    <row r="31" spans="1:11" x14ac:dyDescent="0.3">
      <c r="A31" t="s">
        <v>91</v>
      </c>
      <c r="B31" t="s">
        <v>92</v>
      </c>
      <c r="C31" t="s">
        <v>12</v>
      </c>
      <c r="D31">
        <v>36</v>
      </c>
      <c r="E31" s="20" t="str">
        <f t="shared" si="0"/>
        <v>36-45</v>
      </c>
      <c r="F31" t="s">
        <v>37</v>
      </c>
      <c r="G31">
        <v>2</v>
      </c>
      <c r="H31">
        <v>10.46</v>
      </c>
      <c r="I31" t="s">
        <v>28</v>
      </c>
      <c r="J31" s="1">
        <v>44451</v>
      </c>
      <c r="K31" t="s">
        <v>60</v>
      </c>
    </row>
    <row r="32" spans="1:11" x14ac:dyDescent="0.3">
      <c r="A32" t="s">
        <v>93</v>
      </c>
      <c r="B32" t="s">
        <v>94</v>
      </c>
      <c r="C32" t="s">
        <v>22</v>
      </c>
      <c r="D32">
        <v>45</v>
      </c>
      <c r="E32" s="20" t="str">
        <f t="shared" si="0"/>
        <v>36-45</v>
      </c>
      <c r="F32" t="s">
        <v>27</v>
      </c>
      <c r="G32">
        <v>4</v>
      </c>
      <c r="H32">
        <v>60.6</v>
      </c>
      <c r="I32" t="s">
        <v>28</v>
      </c>
      <c r="J32" s="1">
        <v>44414</v>
      </c>
      <c r="K32" t="s">
        <v>73</v>
      </c>
    </row>
    <row r="33" spans="1:11" x14ac:dyDescent="0.3">
      <c r="A33" t="s">
        <v>95</v>
      </c>
      <c r="B33" t="s">
        <v>96</v>
      </c>
      <c r="C33" t="s">
        <v>22</v>
      </c>
      <c r="D33">
        <v>46</v>
      </c>
      <c r="E33" s="20" t="str">
        <f t="shared" si="0"/>
        <v>46-60</v>
      </c>
      <c r="F33" t="s">
        <v>13</v>
      </c>
      <c r="G33">
        <v>3</v>
      </c>
      <c r="H33">
        <v>900.24</v>
      </c>
      <c r="I33" t="s">
        <v>23</v>
      </c>
      <c r="J33" s="1">
        <v>44817</v>
      </c>
      <c r="K33" t="s">
        <v>34</v>
      </c>
    </row>
    <row r="34" spans="1:11" x14ac:dyDescent="0.3">
      <c r="A34" t="s">
        <v>97</v>
      </c>
      <c r="B34" t="s">
        <v>98</v>
      </c>
      <c r="C34" t="s">
        <v>12</v>
      </c>
      <c r="D34">
        <v>48</v>
      </c>
      <c r="E34" s="20" t="str">
        <f t="shared" si="0"/>
        <v>46-60</v>
      </c>
      <c r="F34" t="s">
        <v>13</v>
      </c>
      <c r="G34">
        <v>1</v>
      </c>
      <c r="H34">
        <v>300.08</v>
      </c>
      <c r="I34" t="s">
        <v>28</v>
      </c>
      <c r="J34" s="1">
        <v>44227</v>
      </c>
      <c r="K34" t="s">
        <v>40</v>
      </c>
    </row>
    <row r="35" spans="1:11" x14ac:dyDescent="0.3">
      <c r="A35" t="s">
        <v>99</v>
      </c>
      <c r="B35" t="s">
        <v>100</v>
      </c>
      <c r="C35" t="s">
        <v>22</v>
      </c>
      <c r="D35">
        <v>60</v>
      </c>
      <c r="E35" s="20" t="str">
        <f t="shared" si="0"/>
        <v>46-60</v>
      </c>
      <c r="F35" t="s">
        <v>18</v>
      </c>
      <c r="G35">
        <v>3</v>
      </c>
      <c r="H35">
        <v>121.98</v>
      </c>
      <c r="I35" t="s">
        <v>14</v>
      </c>
      <c r="J35" s="1">
        <v>44883</v>
      </c>
      <c r="K35" t="s">
        <v>60</v>
      </c>
    </row>
    <row r="36" spans="1:11" x14ac:dyDescent="0.3">
      <c r="A36" t="s">
        <v>101</v>
      </c>
      <c r="B36" t="s">
        <v>102</v>
      </c>
      <c r="C36" t="s">
        <v>12</v>
      </c>
      <c r="D36">
        <v>31</v>
      </c>
      <c r="E36" s="20" t="str">
        <f t="shared" si="0"/>
        <v>26-35</v>
      </c>
      <c r="F36" t="s">
        <v>13</v>
      </c>
      <c r="G36">
        <v>3</v>
      </c>
      <c r="H36">
        <v>900.24</v>
      </c>
      <c r="I36" t="s">
        <v>28</v>
      </c>
      <c r="J36" s="1">
        <v>44646</v>
      </c>
      <c r="K36" t="s">
        <v>15</v>
      </c>
    </row>
    <row r="37" spans="1:11" x14ac:dyDescent="0.3">
      <c r="A37" t="s">
        <v>103</v>
      </c>
      <c r="B37" t="s">
        <v>104</v>
      </c>
      <c r="C37" t="s">
        <v>12</v>
      </c>
      <c r="D37">
        <v>38</v>
      </c>
      <c r="E37" s="20" t="str">
        <f t="shared" si="0"/>
        <v>36-45</v>
      </c>
      <c r="F37" t="s">
        <v>13</v>
      </c>
      <c r="G37">
        <v>2</v>
      </c>
      <c r="H37">
        <v>600.16</v>
      </c>
      <c r="I37" t="s">
        <v>23</v>
      </c>
      <c r="J37" s="1">
        <v>44516</v>
      </c>
      <c r="K37" t="s">
        <v>73</v>
      </c>
    </row>
    <row r="38" spans="1:11" x14ac:dyDescent="0.3">
      <c r="A38" t="s">
        <v>105</v>
      </c>
      <c r="B38" t="s">
        <v>106</v>
      </c>
      <c r="C38" t="s">
        <v>22</v>
      </c>
      <c r="D38">
        <v>23</v>
      </c>
      <c r="E38" s="20" t="str">
        <f t="shared" si="0"/>
        <v>18-25</v>
      </c>
      <c r="F38" t="s">
        <v>13</v>
      </c>
      <c r="G38">
        <v>3</v>
      </c>
      <c r="H38">
        <v>900.24</v>
      </c>
      <c r="I38" t="s">
        <v>28</v>
      </c>
      <c r="J38" s="1">
        <v>44758</v>
      </c>
      <c r="K38" t="s">
        <v>84</v>
      </c>
    </row>
    <row r="39" spans="1:11" x14ac:dyDescent="0.3">
      <c r="A39" t="s">
        <v>107</v>
      </c>
      <c r="B39" t="s">
        <v>108</v>
      </c>
      <c r="C39" t="s">
        <v>12</v>
      </c>
      <c r="D39">
        <v>35</v>
      </c>
      <c r="E39" s="20" t="str">
        <f t="shared" si="0"/>
        <v>26-35</v>
      </c>
      <c r="F39" t="s">
        <v>48</v>
      </c>
      <c r="G39">
        <v>5</v>
      </c>
      <c r="H39">
        <v>3000.85</v>
      </c>
      <c r="I39" t="s">
        <v>14</v>
      </c>
      <c r="J39" s="1">
        <v>44332</v>
      </c>
      <c r="K39" t="s">
        <v>24</v>
      </c>
    </row>
    <row r="40" spans="1:11" x14ac:dyDescent="0.3">
      <c r="A40" t="s">
        <v>109</v>
      </c>
      <c r="B40" t="s">
        <v>110</v>
      </c>
      <c r="C40" t="s">
        <v>12</v>
      </c>
      <c r="D40">
        <v>52</v>
      </c>
      <c r="E40" s="20" t="str">
        <f t="shared" si="0"/>
        <v>46-60</v>
      </c>
      <c r="F40" t="s">
        <v>13</v>
      </c>
      <c r="G40">
        <v>2</v>
      </c>
      <c r="H40">
        <v>600.16</v>
      </c>
      <c r="I40" t="s">
        <v>14</v>
      </c>
      <c r="J40" s="1">
        <v>44366</v>
      </c>
      <c r="K40" t="s">
        <v>24</v>
      </c>
    </row>
    <row r="41" spans="1:11" x14ac:dyDescent="0.3">
      <c r="A41" t="s">
        <v>111</v>
      </c>
      <c r="B41" t="s">
        <v>112</v>
      </c>
      <c r="C41" t="s">
        <v>12</v>
      </c>
      <c r="D41">
        <v>37</v>
      </c>
      <c r="E41" s="20" t="str">
        <f t="shared" si="0"/>
        <v>36-45</v>
      </c>
      <c r="F41" t="s">
        <v>13</v>
      </c>
      <c r="G41">
        <v>4</v>
      </c>
      <c r="H41">
        <v>1200.32</v>
      </c>
      <c r="I41" t="s">
        <v>23</v>
      </c>
      <c r="J41" s="1">
        <v>44436</v>
      </c>
      <c r="K41" t="s">
        <v>60</v>
      </c>
    </row>
    <row r="42" spans="1:11" x14ac:dyDescent="0.3">
      <c r="A42" t="s">
        <v>113</v>
      </c>
      <c r="B42" t="s">
        <v>114</v>
      </c>
      <c r="C42" t="s">
        <v>22</v>
      </c>
      <c r="D42">
        <v>20</v>
      </c>
      <c r="E42" s="20" t="str">
        <f t="shared" si="0"/>
        <v>18-25</v>
      </c>
      <c r="F42" t="s">
        <v>13</v>
      </c>
      <c r="G42">
        <v>5</v>
      </c>
      <c r="H42">
        <v>1500.4</v>
      </c>
      <c r="I42" t="s">
        <v>23</v>
      </c>
      <c r="J42" s="1">
        <v>44905</v>
      </c>
      <c r="K42" t="s">
        <v>43</v>
      </c>
    </row>
    <row r="43" spans="1:11" x14ac:dyDescent="0.3">
      <c r="A43" t="s">
        <v>115</v>
      </c>
      <c r="B43" t="s">
        <v>116</v>
      </c>
      <c r="C43" t="s">
        <v>22</v>
      </c>
      <c r="D43">
        <v>24</v>
      </c>
      <c r="E43" s="20" t="str">
        <f t="shared" si="0"/>
        <v>18-25</v>
      </c>
      <c r="F43" t="s">
        <v>48</v>
      </c>
      <c r="G43">
        <v>4</v>
      </c>
      <c r="H43">
        <v>2400.6799999999998</v>
      </c>
      <c r="I43" t="s">
        <v>28</v>
      </c>
      <c r="J43" s="1">
        <v>44676</v>
      </c>
      <c r="K43" t="s">
        <v>15</v>
      </c>
    </row>
    <row r="44" spans="1:11" x14ac:dyDescent="0.3">
      <c r="A44" t="s">
        <v>117</v>
      </c>
      <c r="B44" t="s">
        <v>118</v>
      </c>
      <c r="C44" t="s">
        <v>12</v>
      </c>
      <c r="D44">
        <v>52</v>
      </c>
      <c r="E44" s="20" t="str">
        <f t="shared" si="0"/>
        <v>46-60</v>
      </c>
      <c r="F44" t="s">
        <v>48</v>
      </c>
      <c r="G44">
        <v>4</v>
      </c>
      <c r="H44">
        <v>2400.6799999999998</v>
      </c>
      <c r="I44" t="s">
        <v>14</v>
      </c>
      <c r="J44" s="1">
        <v>44667</v>
      </c>
      <c r="K44" t="s">
        <v>40</v>
      </c>
    </row>
    <row r="45" spans="1:11" x14ac:dyDescent="0.3">
      <c r="A45" t="s">
        <v>119</v>
      </c>
      <c r="B45" t="s">
        <v>120</v>
      </c>
      <c r="C45" t="s">
        <v>22</v>
      </c>
      <c r="D45">
        <v>65</v>
      </c>
      <c r="E45" s="20" t="str">
        <f t="shared" si="0"/>
        <v>60+</v>
      </c>
      <c r="F45" t="s">
        <v>37</v>
      </c>
      <c r="G45">
        <v>5</v>
      </c>
      <c r="H45">
        <v>26.15</v>
      </c>
      <c r="I45" t="s">
        <v>14</v>
      </c>
      <c r="J45" s="1">
        <v>44517</v>
      </c>
      <c r="K45" t="s">
        <v>24</v>
      </c>
    </row>
    <row r="46" spans="1:11" x14ac:dyDescent="0.3">
      <c r="A46" t="s">
        <v>121</v>
      </c>
      <c r="B46" t="s">
        <v>122</v>
      </c>
      <c r="C46" t="s">
        <v>12</v>
      </c>
      <c r="D46">
        <v>69</v>
      </c>
      <c r="E46" s="20" t="str">
        <f t="shared" si="0"/>
        <v>60+</v>
      </c>
      <c r="F46" t="s">
        <v>13</v>
      </c>
      <c r="G46">
        <v>2</v>
      </c>
      <c r="H46">
        <v>600.16</v>
      </c>
      <c r="I46" t="s">
        <v>14</v>
      </c>
      <c r="J46" s="1">
        <v>44400</v>
      </c>
      <c r="K46" t="s">
        <v>43</v>
      </c>
    </row>
    <row r="47" spans="1:11" x14ac:dyDescent="0.3">
      <c r="A47" t="s">
        <v>123</v>
      </c>
      <c r="B47" t="s">
        <v>124</v>
      </c>
      <c r="C47" t="s">
        <v>22</v>
      </c>
      <c r="D47">
        <v>43</v>
      </c>
      <c r="E47" s="20" t="str">
        <f t="shared" si="0"/>
        <v>36-45</v>
      </c>
      <c r="F47" t="s">
        <v>48</v>
      </c>
      <c r="G47">
        <v>5</v>
      </c>
      <c r="H47">
        <v>3000.85</v>
      </c>
      <c r="I47" t="s">
        <v>28</v>
      </c>
      <c r="J47" s="1">
        <v>44252</v>
      </c>
      <c r="K47" t="s">
        <v>24</v>
      </c>
    </row>
    <row r="48" spans="1:11" x14ac:dyDescent="0.3">
      <c r="A48" t="s">
        <v>125</v>
      </c>
      <c r="B48" t="s">
        <v>126</v>
      </c>
      <c r="C48" t="s">
        <v>22</v>
      </c>
      <c r="D48">
        <v>30</v>
      </c>
      <c r="E48" s="20" t="str">
        <f t="shared" si="0"/>
        <v>26-35</v>
      </c>
      <c r="F48" t="s">
        <v>37</v>
      </c>
      <c r="G48">
        <v>4</v>
      </c>
      <c r="H48">
        <v>20.92</v>
      </c>
      <c r="I48" t="s">
        <v>28</v>
      </c>
      <c r="J48" s="1">
        <v>44376</v>
      </c>
      <c r="K48" t="s">
        <v>60</v>
      </c>
    </row>
    <row r="49" spans="1:11" x14ac:dyDescent="0.3">
      <c r="A49" t="s">
        <v>127</v>
      </c>
      <c r="B49" t="s">
        <v>128</v>
      </c>
      <c r="C49" t="s">
        <v>22</v>
      </c>
      <c r="D49">
        <v>69</v>
      </c>
      <c r="E49" s="20" t="str">
        <f t="shared" si="0"/>
        <v>60+</v>
      </c>
      <c r="F49" t="s">
        <v>27</v>
      </c>
      <c r="G49">
        <v>3</v>
      </c>
      <c r="H49">
        <v>45.45</v>
      </c>
      <c r="I49" t="s">
        <v>28</v>
      </c>
      <c r="J49" s="1">
        <v>44221</v>
      </c>
      <c r="K49" t="s">
        <v>60</v>
      </c>
    </row>
    <row r="50" spans="1:11" x14ac:dyDescent="0.3">
      <c r="A50" t="s">
        <v>129</v>
      </c>
      <c r="B50" t="s">
        <v>130</v>
      </c>
      <c r="C50" t="s">
        <v>22</v>
      </c>
      <c r="D50">
        <v>30</v>
      </c>
      <c r="E50" s="20" t="str">
        <f t="shared" si="0"/>
        <v>26-35</v>
      </c>
      <c r="F50" t="s">
        <v>13</v>
      </c>
      <c r="G50">
        <v>1</v>
      </c>
      <c r="H50">
        <v>300.08</v>
      </c>
      <c r="I50" t="s">
        <v>14</v>
      </c>
      <c r="J50" s="1">
        <v>44297</v>
      </c>
      <c r="K50" t="s">
        <v>43</v>
      </c>
    </row>
    <row r="51" spans="1:11" x14ac:dyDescent="0.3">
      <c r="A51" t="s">
        <v>131</v>
      </c>
      <c r="B51" t="s">
        <v>132</v>
      </c>
      <c r="C51" t="s">
        <v>12</v>
      </c>
      <c r="D51">
        <v>43</v>
      </c>
      <c r="E51" s="20" t="str">
        <f t="shared" si="0"/>
        <v>36-45</v>
      </c>
      <c r="F51" t="s">
        <v>48</v>
      </c>
      <c r="G51">
        <v>4</v>
      </c>
      <c r="H51">
        <v>2400.6799999999998</v>
      </c>
      <c r="I51" t="s">
        <v>14</v>
      </c>
      <c r="J51" s="1">
        <v>44515</v>
      </c>
      <c r="K51" t="s">
        <v>40</v>
      </c>
    </row>
    <row r="52" spans="1:11" x14ac:dyDescent="0.3">
      <c r="A52" t="s">
        <v>133</v>
      </c>
      <c r="B52" t="s">
        <v>134</v>
      </c>
      <c r="C52" t="s">
        <v>22</v>
      </c>
      <c r="D52">
        <v>69</v>
      </c>
      <c r="E52" s="20" t="str">
        <f t="shared" si="0"/>
        <v>60+</v>
      </c>
      <c r="F52" t="s">
        <v>37</v>
      </c>
      <c r="G52">
        <v>1</v>
      </c>
      <c r="H52">
        <v>5.23</v>
      </c>
      <c r="I52" t="s">
        <v>14</v>
      </c>
      <c r="J52" s="1">
        <v>44334</v>
      </c>
      <c r="K52" t="s">
        <v>60</v>
      </c>
    </row>
    <row r="53" spans="1:11" x14ac:dyDescent="0.3">
      <c r="A53" t="s">
        <v>135</v>
      </c>
      <c r="B53" t="s">
        <v>136</v>
      </c>
      <c r="C53" t="s">
        <v>22</v>
      </c>
      <c r="D53">
        <v>36</v>
      </c>
      <c r="E53" s="20" t="str">
        <f t="shared" si="0"/>
        <v>36-45</v>
      </c>
      <c r="F53" t="s">
        <v>13</v>
      </c>
      <c r="G53">
        <v>1</v>
      </c>
      <c r="H53">
        <v>300.08</v>
      </c>
      <c r="I53" t="s">
        <v>14</v>
      </c>
      <c r="J53" s="1">
        <v>44537</v>
      </c>
      <c r="K53" t="s">
        <v>24</v>
      </c>
    </row>
    <row r="54" spans="1:11" x14ac:dyDescent="0.3">
      <c r="A54" t="s">
        <v>137</v>
      </c>
      <c r="B54" t="s">
        <v>138</v>
      </c>
      <c r="C54" t="s">
        <v>22</v>
      </c>
      <c r="D54">
        <v>33</v>
      </c>
      <c r="E54" s="20" t="str">
        <f t="shared" si="0"/>
        <v>26-35</v>
      </c>
      <c r="F54" t="s">
        <v>13</v>
      </c>
      <c r="G54">
        <v>5</v>
      </c>
      <c r="H54">
        <v>1500.4</v>
      </c>
      <c r="I54" t="s">
        <v>14</v>
      </c>
      <c r="J54" s="1">
        <v>44669</v>
      </c>
      <c r="K54" t="s">
        <v>34</v>
      </c>
    </row>
    <row r="55" spans="1:11" x14ac:dyDescent="0.3">
      <c r="A55" t="s">
        <v>139</v>
      </c>
      <c r="B55" t="s">
        <v>140</v>
      </c>
      <c r="C55" t="s">
        <v>22</v>
      </c>
      <c r="D55">
        <v>32</v>
      </c>
      <c r="E55" s="20" t="str">
        <f t="shared" si="0"/>
        <v>26-35</v>
      </c>
      <c r="F55" t="s">
        <v>18</v>
      </c>
      <c r="G55">
        <v>2</v>
      </c>
      <c r="H55">
        <v>81.319999999999993</v>
      </c>
      <c r="I55" t="s">
        <v>14</v>
      </c>
      <c r="J55" s="1">
        <v>44822</v>
      </c>
      <c r="K55" t="s">
        <v>43</v>
      </c>
    </row>
    <row r="56" spans="1:11" x14ac:dyDescent="0.3">
      <c r="A56" t="s">
        <v>141</v>
      </c>
      <c r="B56" t="s">
        <v>142</v>
      </c>
      <c r="C56" t="s">
        <v>12</v>
      </c>
      <c r="D56">
        <v>62</v>
      </c>
      <c r="E56" s="20" t="str">
        <f t="shared" si="0"/>
        <v>60+</v>
      </c>
      <c r="F56" t="s">
        <v>13</v>
      </c>
      <c r="G56">
        <v>1</v>
      </c>
      <c r="H56">
        <v>300.08</v>
      </c>
      <c r="I56" t="s">
        <v>23</v>
      </c>
      <c r="J56" s="1">
        <v>44956</v>
      </c>
      <c r="K56" t="s">
        <v>40</v>
      </c>
    </row>
    <row r="57" spans="1:11" x14ac:dyDescent="0.3">
      <c r="A57" t="s">
        <v>143</v>
      </c>
      <c r="B57" t="s">
        <v>144</v>
      </c>
      <c r="C57" t="s">
        <v>22</v>
      </c>
      <c r="D57">
        <v>41</v>
      </c>
      <c r="E57" s="20" t="str">
        <f t="shared" si="0"/>
        <v>36-45</v>
      </c>
      <c r="F57" t="s">
        <v>37</v>
      </c>
      <c r="G57">
        <v>1</v>
      </c>
      <c r="H57">
        <v>5.23</v>
      </c>
      <c r="I57" t="s">
        <v>28</v>
      </c>
      <c r="J57" s="1">
        <v>44405</v>
      </c>
      <c r="K57" t="s">
        <v>34</v>
      </c>
    </row>
    <row r="58" spans="1:11" x14ac:dyDescent="0.3">
      <c r="A58" t="s">
        <v>145</v>
      </c>
      <c r="B58" t="s">
        <v>146</v>
      </c>
      <c r="C58" t="s">
        <v>12</v>
      </c>
      <c r="D58">
        <v>57</v>
      </c>
      <c r="E58" s="20" t="str">
        <f t="shared" si="0"/>
        <v>46-60</v>
      </c>
      <c r="F58" t="s">
        <v>13</v>
      </c>
      <c r="G58">
        <v>1</v>
      </c>
      <c r="H58">
        <v>300.08</v>
      </c>
      <c r="I58" t="s">
        <v>23</v>
      </c>
      <c r="J58" s="1">
        <v>44517</v>
      </c>
      <c r="K58" t="s">
        <v>24</v>
      </c>
    </row>
    <row r="59" spans="1:11" x14ac:dyDescent="0.3">
      <c r="A59" t="s">
        <v>147</v>
      </c>
      <c r="B59" t="s">
        <v>148</v>
      </c>
      <c r="C59" t="s">
        <v>12</v>
      </c>
      <c r="D59">
        <v>34</v>
      </c>
      <c r="E59" s="20" t="str">
        <f t="shared" si="0"/>
        <v>26-35</v>
      </c>
      <c r="F59" t="s">
        <v>13</v>
      </c>
      <c r="G59">
        <v>1</v>
      </c>
      <c r="H59">
        <v>300.08</v>
      </c>
      <c r="I59" t="s">
        <v>23</v>
      </c>
      <c r="J59" s="1">
        <v>44618</v>
      </c>
      <c r="K59" t="s">
        <v>84</v>
      </c>
    </row>
    <row r="60" spans="1:11" x14ac:dyDescent="0.3">
      <c r="A60" t="s">
        <v>149</v>
      </c>
      <c r="B60" t="s">
        <v>150</v>
      </c>
      <c r="C60" t="s">
        <v>22</v>
      </c>
      <c r="D60">
        <v>34</v>
      </c>
      <c r="E60" s="20" t="str">
        <f t="shared" si="0"/>
        <v>26-35</v>
      </c>
      <c r="F60" t="s">
        <v>37</v>
      </c>
      <c r="G60">
        <v>5</v>
      </c>
      <c r="H60">
        <v>26.15</v>
      </c>
      <c r="I60" t="s">
        <v>23</v>
      </c>
      <c r="J60" s="1">
        <v>44915</v>
      </c>
      <c r="K60" t="s">
        <v>24</v>
      </c>
    </row>
    <row r="61" spans="1:11" x14ac:dyDescent="0.3">
      <c r="A61" t="s">
        <v>151</v>
      </c>
      <c r="B61" t="s">
        <v>152</v>
      </c>
      <c r="C61" t="s">
        <v>22</v>
      </c>
      <c r="D61">
        <v>58</v>
      </c>
      <c r="E61" s="20" t="str">
        <f t="shared" si="0"/>
        <v>46-60</v>
      </c>
      <c r="F61" t="s">
        <v>18</v>
      </c>
      <c r="G61">
        <v>5</v>
      </c>
      <c r="H61">
        <v>203.3</v>
      </c>
      <c r="I61" t="s">
        <v>28</v>
      </c>
      <c r="J61" s="1">
        <v>44395</v>
      </c>
      <c r="K61" t="s">
        <v>73</v>
      </c>
    </row>
    <row r="62" spans="1:11" x14ac:dyDescent="0.3">
      <c r="A62" t="s">
        <v>153</v>
      </c>
      <c r="B62" t="s">
        <v>154</v>
      </c>
      <c r="C62" t="s">
        <v>22</v>
      </c>
      <c r="D62">
        <v>31</v>
      </c>
      <c r="E62" s="20" t="str">
        <f t="shared" si="0"/>
        <v>26-35</v>
      </c>
      <c r="F62" t="s">
        <v>27</v>
      </c>
      <c r="G62">
        <v>5</v>
      </c>
      <c r="H62">
        <v>75.75</v>
      </c>
      <c r="I62" t="s">
        <v>14</v>
      </c>
      <c r="J62" s="1">
        <v>44617</v>
      </c>
      <c r="K62" t="s">
        <v>84</v>
      </c>
    </row>
    <row r="63" spans="1:11" x14ac:dyDescent="0.3">
      <c r="A63" t="s">
        <v>155</v>
      </c>
      <c r="B63" t="s">
        <v>156</v>
      </c>
      <c r="C63" t="s">
        <v>12</v>
      </c>
      <c r="D63">
        <v>24</v>
      </c>
      <c r="E63" s="20" t="str">
        <f t="shared" si="0"/>
        <v>18-25</v>
      </c>
      <c r="F63" t="s">
        <v>59</v>
      </c>
      <c r="G63">
        <v>4</v>
      </c>
      <c r="H63">
        <v>143.36000000000001</v>
      </c>
      <c r="I63" t="s">
        <v>14</v>
      </c>
      <c r="J63" s="1">
        <v>44405</v>
      </c>
      <c r="K63" t="s">
        <v>34</v>
      </c>
    </row>
    <row r="64" spans="1:11" x14ac:dyDescent="0.3">
      <c r="A64" t="s">
        <v>157</v>
      </c>
      <c r="B64" t="s">
        <v>158</v>
      </c>
      <c r="C64" t="s">
        <v>12</v>
      </c>
      <c r="D64">
        <v>57</v>
      </c>
      <c r="E64" s="20" t="str">
        <f t="shared" si="0"/>
        <v>46-60</v>
      </c>
      <c r="F64" t="s">
        <v>56</v>
      </c>
      <c r="G64">
        <v>5</v>
      </c>
      <c r="H64">
        <v>58.65</v>
      </c>
      <c r="I64" t="s">
        <v>14</v>
      </c>
      <c r="J64" s="1">
        <v>44275</v>
      </c>
      <c r="K64" t="s">
        <v>84</v>
      </c>
    </row>
    <row r="65" spans="1:11" x14ac:dyDescent="0.3">
      <c r="A65" t="s">
        <v>159</v>
      </c>
      <c r="B65" t="s">
        <v>160</v>
      </c>
      <c r="C65" t="s">
        <v>12</v>
      </c>
      <c r="D65">
        <v>45</v>
      </c>
      <c r="E65" s="20" t="str">
        <f t="shared" si="0"/>
        <v>36-45</v>
      </c>
      <c r="F65" t="s">
        <v>37</v>
      </c>
      <c r="G65">
        <v>4</v>
      </c>
      <c r="H65">
        <v>20.92</v>
      </c>
      <c r="I65" t="s">
        <v>28</v>
      </c>
      <c r="J65" s="1">
        <v>44885</v>
      </c>
      <c r="K65" t="s">
        <v>43</v>
      </c>
    </row>
    <row r="66" spans="1:11" x14ac:dyDescent="0.3">
      <c r="A66" t="s">
        <v>161</v>
      </c>
      <c r="B66" t="s">
        <v>162</v>
      </c>
      <c r="C66" t="s">
        <v>12</v>
      </c>
      <c r="D66">
        <v>32</v>
      </c>
      <c r="E66" s="20" t="str">
        <f t="shared" si="0"/>
        <v>26-35</v>
      </c>
      <c r="F66" t="s">
        <v>13</v>
      </c>
      <c r="G66">
        <v>5</v>
      </c>
      <c r="H66">
        <v>1500.4</v>
      </c>
      <c r="I66" t="s">
        <v>28</v>
      </c>
      <c r="J66" s="1">
        <v>44373</v>
      </c>
      <c r="K66" t="s">
        <v>84</v>
      </c>
    </row>
    <row r="67" spans="1:11" x14ac:dyDescent="0.3">
      <c r="A67" t="s">
        <v>163</v>
      </c>
      <c r="B67" t="s">
        <v>164</v>
      </c>
      <c r="C67" t="s">
        <v>12</v>
      </c>
      <c r="D67">
        <v>22</v>
      </c>
      <c r="E67" s="20" t="str">
        <f t="shared" ref="E67:E130" si="1">IF(D67&lt;18,"Below 18",IF(D67&lt;=25,"18-25",IF(D67&lt;=35,"26-35",IF(D67&lt;=45,"36-45",IF(D67&lt;=60,"46-60","60+")))))</f>
        <v>18-25</v>
      </c>
      <c r="F67" t="s">
        <v>13</v>
      </c>
      <c r="G67">
        <v>4</v>
      </c>
      <c r="H67">
        <v>1200.32</v>
      </c>
      <c r="I67" t="s">
        <v>28</v>
      </c>
      <c r="J67" s="1">
        <v>44305</v>
      </c>
      <c r="K67" t="s">
        <v>34</v>
      </c>
    </row>
    <row r="68" spans="1:11" x14ac:dyDescent="0.3">
      <c r="A68" t="s">
        <v>165</v>
      </c>
      <c r="B68" t="s">
        <v>166</v>
      </c>
      <c r="C68" t="s">
        <v>22</v>
      </c>
      <c r="D68">
        <v>59</v>
      </c>
      <c r="E68" s="20" t="str">
        <f t="shared" si="1"/>
        <v>46-60</v>
      </c>
      <c r="F68" t="s">
        <v>13</v>
      </c>
      <c r="G68">
        <v>2</v>
      </c>
      <c r="H68">
        <v>600.16</v>
      </c>
      <c r="I68" t="s">
        <v>23</v>
      </c>
      <c r="J68" s="1">
        <v>44237</v>
      </c>
      <c r="K68" t="s">
        <v>34</v>
      </c>
    </row>
    <row r="69" spans="1:11" x14ac:dyDescent="0.3">
      <c r="A69" t="s">
        <v>167</v>
      </c>
      <c r="B69" t="s">
        <v>168</v>
      </c>
      <c r="C69" t="s">
        <v>22</v>
      </c>
      <c r="D69">
        <v>60</v>
      </c>
      <c r="E69" s="20" t="str">
        <f t="shared" si="1"/>
        <v>46-60</v>
      </c>
      <c r="F69" t="s">
        <v>56</v>
      </c>
      <c r="G69">
        <v>3</v>
      </c>
      <c r="H69">
        <v>35.19</v>
      </c>
      <c r="I69" t="s">
        <v>28</v>
      </c>
      <c r="J69" s="1">
        <v>44439</v>
      </c>
      <c r="K69" t="s">
        <v>43</v>
      </c>
    </row>
    <row r="70" spans="1:11" x14ac:dyDescent="0.3">
      <c r="A70" t="s">
        <v>169</v>
      </c>
      <c r="B70" t="s">
        <v>170</v>
      </c>
      <c r="C70" t="s">
        <v>22</v>
      </c>
      <c r="D70">
        <v>42</v>
      </c>
      <c r="E70" s="20" t="str">
        <f t="shared" si="1"/>
        <v>36-45</v>
      </c>
      <c r="F70" t="s">
        <v>13</v>
      </c>
      <c r="G70">
        <v>3</v>
      </c>
      <c r="H70">
        <v>900.24</v>
      </c>
      <c r="I70" t="s">
        <v>14</v>
      </c>
      <c r="J70" s="1">
        <v>44626</v>
      </c>
      <c r="K70" t="s">
        <v>84</v>
      </c>
    </row>
    <row r="71" spans="1:11" x14ac:dyDescent="0.3">
      <c r="A71" t="s">
        <v>171</v>
      </c>
      <c r="B71" t="s">
        <v>172</v>
      </c>
      <c r="C71" t="s">
        <v>12</v>
      </c>
      <c r="D71">
        <v>27</v>
      </c>
      <c r="E71" s="20" t="str">
        <f t="shared" si="1"/>
        <v>26-35</v>
      </c>
      <c r="F71" t="s">
        <v>48</v>
      </c>
      <c r="G71">
        <v>3</v>
      </c>
      <c r="H71">
        <v>1800.51</v>
      </c>
      <c r="I71" t="s">
        <v>23</v>
      </c>
      <c r="J71" s="1">
        <v>44298</v>
      </c>
      <c r="K71" t="s">
        <v>24</v>
      </c>
    </row>
    <row r="72" spans="1:11" x14ac:dyDescent="0.3">
      <c r="A72" t="s">
        <v>173</v>
      </c>
      <c r="B72" t="s">
        <v>174</v>
      </c>
      <c r="C72" t="s">
        <v>12</v>
      </c>
      <c r="D72">
        <v>27</v>
      </c>
      <c r="E72" s="20" t="str">
        <f t="shared" si="1"/>
        <v>26-35</v>
      </c>
      <c r="F72" t="s">
        <v>18</v>
      </c>
      <c r="G72">
        <v>1</v>
      </c>
      <c r="H72">
        <v>40.659999999999997</v>
      </c>
      <c r="I72" t="s">
        <v>14</v>
      </c>
      <c r="J72" s="1">
        <v>44629</v>
      </c>
      <c r="K72" t="s">
        <v>24</v>
      </c>
    </row>
    <row r="73" spans="1:11" x14ac:dyDescent="0.3">
      <c r="A73" t="s">
        <v>175</v>
      </c>
      <c r="B73" t="s">
        <v>176</v>
      </c>
      <c r="C73" t="s">
        <v>12</v>
      </c>
      <c r="D73">
        <v>37</v>
      </c>
      <c r="E73" s="20" t="str">
        <f t="shared" si="1"/>
        <v>36-45</v>
      </c>
      <c r="F73" t="s">
        <v>37</v>
      </c>
      <c r="G73">
        <v>1</v>
      </c>
      <c r="H73">
        <v>5.23</v>
      </c>
      <c r="I73" t="s">
        <v>14</v>
      </c>
      <c r="J73" s="1">
        <v>44849</v>
      </c>
      <c r="K73" t="s">
        <v>43</v>
      </c>
    </row>
    <row r="74" spans="1:11" x14ac:dyDescent="0.3">
      <c r="A74" t="s">
        <v>177</v>
      </c>
      <c r="B74" t="s">
        <v>178</v>
      </c>
      <c r="C74" t="s">
        <v>12</v>
      </c>
      <c r="D74">
        <v>25</v>
      </c>
      <c r="E74" s="20" t="str">
        <f t="shared" si="1"/>
        <v>18-25</v>
      </c>
      <c r="F74" t="s">
        <v>13</v>
      </c>
      <c r="G74">
        <v>5</v>
      </c>
      <c r="H74">
        <v>1500.4</v>
      </c>
      <c r="I74" t="s">
        <v>14</v>
      </c>
      <c r="J74" s="1">
        <v>44342</v>
      </c>
      <c r="K74" t="s">
        <v>24</v>
      </c>
    </row>
    <row r="75" spans="1:11" x14ac:dyDescent="0.3">
      <c r="A75" t="s">
        <v>179</v>
      </c>
      <c r="B75" t="s">
        <v>180</v>
      </c>
      <c r="C75" t="s">
        <v>22</v>
      </c>
      <c r="D75">
        <v>45</v>
      </c>
      <c r="E75" s="20" t="str">
        <f t="shared" si="1"/>
        <v>36-45</v>
      </c>
      <c r="F75" t="s">
        <v>48</v>
      </c>
      <c r="G75">
        <v>5</v>
      </c>
      <c r="H75">
        <v>3000.85</v>
      </c>
      <c r="I75" t="s">
        <v>28</v>
      </c>
      <c r="J75" s="1">
        <v>44886</v>
      </c>
      <c r="K75" t="s">
        <v>34</v>
      </c>
    </row>
    <row r="76" spans="1:11" x14ac:dyDescent="0.3">
      <c r="A76" t="s">
        <v>181</v>
      </c>
      <c r="B76" t="s">
        <v>182</v>
      </c>
      <c r="C76" t="s">
        <v>12</v>
      </c>
      <c r="D76">
        <v>44</v>
      </c>
      <c r="E76" s="20" t="str">
        <f t="shared" si="1"/>
        <v>36-45</v>
      </c>
      <c r="F76" t="s">
        <v>18</v>
      </c>
      <c r="G76">
        <v>3</v>
      </c>
      <c r="H76">
        <v>121.98</v>
      </c>
      <c r="I76" t="s">
        <v>28</v>
      </c>
      <c r="J76" s="1">
        <v>44846</v>
      </c>
      <c r="K76" t="s">
        <v>84</v>
      </c>
    </row>
    <row r="77" spans="1:11" x14ac:dyDescent="0.3">
      <c r="A77" t="s">
        <v>183</v>
      </c>
      <c r="B77" t="s">
        <v>184</v>
      </c>
      <c r="C77" t="s">
        <v>22</v>
      </c>
      <c r="D77">
        <v>67</v>
      </c>
      <c r="E77" s="20" t="str">
        <f t="shared" si="1"/>
        <v>60+</v>
      </c>
      <c r="F77" t="s">
        <v>59</v>
      </c>
      <c r="G77">
        <v>3</v>
      </c>
      <c r="H77">
        <v>107.52</v>
      </c>
      <c r="I77" t="s">
        <v>14</v>
      </c>
      <c r="J77" s="1">
        <v>44694</v>
      </c>
      <c r="K77" t="s">
        <v>34</v>
      </c>
    </row>
    <row r="78" spans="1:11" x14ac:dyDescent="0.3">
      <c r="A78" t="s">
        <v>185</v>
      </c>
      <c r="B78" t="s">
        <v>186</v>
      </c>
      <c r="C78" t="s">
        <v>12</v>
      </c>
      <c r="D78">
        <v>42</v>
      </c>
      <c r="E78" s="20" t="str">
        <f t="shared" si="1"/>
        <v>36-45</v>
      </c>
      <c r="F78" t="s">
        <v>13</v>
      </c>
      <c r="G78">
        <v>2</v>
      </c>
      <c r="H78">
        <v>600.16</v>
      </c>
      <c r="I78" t="s">
        <v>14</v>
      </c>
      <c r="J78" s="1">
        <v>44978</v>
      </c>
      <c r="K78" t="s">
        <v>24</v>
      </c>
    </row>
    <row r="79" spans="1:11" x14ac:dyDescent="0.3">
      <c r="A79" t="s">
        <v>187</v>
      </c>
      <c r="B79" t="s">
        <v>188</v>
      </c>
      <c r="C79" t="s">
        <v>12</v>
      </c>
      <c r="D79">
        <v>27</v>
      </c>
      <c r="E79" s="20" t="str">
        <f t="shared" si="1"/>
        <v>26-35</v>
      </c>
      <c r="F79" t="s">
        <v>18</v>
      </c>
      <c r="G79">
        <v>4</v>
      </c>
      <c r="H79">
        <v>162.63999999999999</v>
      </c>
      <c r="I79" t="s">
        <v>23</v>
      </c>
      <c r="J79" s="1">
        <v>44985</v>
      </c>
      <c r="K79" t="s">
        <v>24</v>
      </c>
    </row>
    <row r="80" spans="1:11" x14ac:dyDescent="0.3">
      <c r="A80" t="s">
        <v>189</v>
      </c>
      <c r="B80" t="s">
        <v>190</v>
      </c>
      <c r="C80" t="s">
        <v>22</v>
      </c>
      <c r="D80">
        <v>67</v>
      </c>
      <c r="E80" s="20" t="str">
        <f t="shared" si="1"/>
        <v>60+</v>
      </c>
      <c r="F80" t="s">
        <v>31</v>
      </c>
      <c r="G80">
        <v>1</v>
      </c>
      <c r="H80">
        <v>1050</v>
      </c>
      <c r="I80" t="s">
        <v>23</v>
      </c>
      <c r="J80" s="1">
        <v>44396</v>
      </c>
      <c r="K80" t="s">
        <v>60</v>
      </c>
    </row>
    <row r="81" spans="1:11" x14ac:dyDescent="0.3">
      <c r="A81" t="s">
        <v>191</v>
      </c>
      <c r="B81" t="s">
        <v>192</v>
      </c>
      <c r="C81" t="s">
        <v>22</v>
      </c>
      <c r="D81">
        <v>22</v>
      </c>
      <c r="E81" s="20" t="str">
        <f t="shared" si="1"/>
        <v>18-25</v>
      </c>
      <c r="F81" t="s">
        <v>18</v>
      </c>
      <c r="G81">
        <v>3</v>
      </c>
      <c r="H81">
        <v>121.98</v>
      </c>
      <c r="I81" t="s">
        <v>28</v>
      </c>
      <c r="J81" s="1">
        <v>44854</v>
      </c>
      <c r="K81" t="s">
        <v>73</v>
      </c>
    </row>
    <row r="82" spans="1:11" x14ac:dyDescent="0.3">
      <c r="A82" t="s">
        <v>193</v>
      </c>
      <c r="B82" t="s">
        <v>194</v>
      </c>
      <c r="C82" t="s">
        <v>22</v>
      </c>
      <c r="D82">
        <v>42</v>
      </c>
      <c r="E82" s="20" t="str">
        <f t="shared" si="1"/>
        <v>36-45</v>
      </c>
      <c r="F82" t="s">
        <v>13</v>
      </c>
      <c r="G82">
        <v>1</v>
      </c>
      <c r="H82">
        <v>300.08</v>
      </c>
      <c r="I82" t="s">
        <v>14</v>
      </c>
      <c r="J82" s="1">
        <v>44938</v>
      </c>
      <c r="K82" t="s">
        <v>43</v>
      </c>
    </row>
    <row r="83" spans="1:11" x14ac:dyDescent="0.3">
      <c r="A83" t="s">
        <v>195</v>
      </c>
      <c r="B83" t="s">
        <v>196</v>
      </c>
      <c r="C83" t="s">
        <v>12</v>
      </c>
      <c r="D83">
        <v>40</v>
      </c>
      <c r="E83" s="20" t="str">
        <f t="shared" si="1"/>
        <v>36-45</v>
      </c>
      <c r="F83" t="s">
        <v>13</v>
      </c>
      <c r="G83">
        <v>5</v>
      </c>
      <c r="H83">
        <v>1500.4</v>
      </c>
      <c r="I83" t="s">
        <v>28</v>
      </c>
      <c r="J83" s="1">
        <v>44914</v>
      </c>
      <c r="K83" t="s">
        <v>43</v>
      </c>
    </row>
    <row r="84" spans="1:11" x14ac:dyDescent="0.3">
      <c r="A84" t="s">
        <v>197</v>
      </c>
      <c r="B84" t="s">
        <v>198</v>
      </c>
      <c r="C84" t="s">
        <v>22</v>
      </c>
      <c r="D84">
        <v>36</v>
      </c>
      <c r="E84" s="20" t="str">
        <f t="shared" si="1"/>
        <v>36-45</v>
      </c>
      <c r="F84" t="s">
        <v>56</v>
      </c>
      <c r="G84">
        <v>4</v>
      </c>
      <c r="H84">
        <v>46.92</v>
      </c>
      <c r="I84" t="s">
        <v>14</v>
      </c>
      <c r="J84" s="1">
        <v>44710</v>
      </c>
      <c r="K84" t="s">
        <v>60</v>
      </c>
    </row>
    <row r="85" spans="1:11" x14ac:dyDescent="0.3">
      <c r="A85" t="s">
        <v>199</v>
      </c>
      <c r="B85" t="s">
        <v>200</v>
      </c>
      <c r="C85" t="s">
        <v>22</v>
      </c>
      <c r="D85">
        <v>41</v>
      </c>
      <c r="E85" s="20" t="str">
        <f t="shared" si="1"/>
        <v>36-45</v>
      </c>
      <c r="F85" t="s">
        <v>18</v>
      </c>
      <c r="G85">
        <v>2</v>
      </c>
      <c r="H85">
        <v>81.319999999999993</v>
      </c>
      <c r="I85" t="s">
        <v>28</v>
      </c>
      <c r="J85" s="1">
        <v>44988</v>
      </c>
      <c r="K85" t="s">
        <v>24</v>
      </c>
    </row>
    <row r="86" spans="1:11" x14ac:dyDescent="0.3">
      <c r="A86" t="s">
        <v>201</v>
      </c>
      <c r="B86" t="s">
        <v>202</v>
      </c>
      <c r="C86" t="s">
        <v>22</v>
      </c>
      <c r="D86">
        <v>57</v>
      </c>
      <c r="E86" s="20" t="str">
        <f t="shared" si="1"/>
        <v>46-60</v>
      </c>
      <c r="F86" t="s">
        <v>18</v>
      </c>
      <c r="G86">
        <v>4</v>
      </c>
      <c r="H86">
        <v>162.63999999999999</v>
      </c>
      <c r="I86" t="s">
        <v>23</v>
      </c>
      <c r="J86" s="1">
        <v>44906</v>
      </c>
      <c r="K86" t="s">
        <v>43</v>
      </c>
    </row>
    <row r="87" spans="1:11" x14ac:dyDescent="0.3">
      <c r="A87" t="s">
        <v>203</v>
      </c>
      <c r="B87" t="s">
        <v>204</v>
      </c>
      <c r="C87" t="s">
        <v>12</v>
      </c>
      <c r="D87">
        <v>37</v>
      </c>
      <c r="E87" s="20" t="str">
        <f t="shared" si="1"/>
        <v>36-45</v>
      </c>
      <c r="F87" t="s">
        <v>59</v>
      </c>
      <c r="G87">
        <v>4</v>
      </c>
      <c r="H87">
        <v>143.36000000000001</v>
      </c>
      <c r="I87" t="s">
        <v>23</v>
      </c>
      <c r="J87" s="1">
        <v>44240</v>
      </c>
      <c r="K87" t="s">
        <v>34</v>
      </c>
    </row>
    <row r="88" spans="1:11" x14ac:dyDescent="0.3">
      <c r="A88" t="s">
        <v>205</v>
      </c>
      <c r="B88" t="s">
        <v>206</v>
      </c>
      <c r="C88" t="s">
        <v>22</v>
      </c>
      <c r="D88">
        <v>67</v>
      </c>
      <c r="E88" s="20" t="str">
        <f t="shared" si="1"/>
        <v>60+</v>
      </c>
      <c r="F88" t="s">
        <v>59</v>
      </c>
      <c r="G88">
        <v>5</v>
      </c>
      <c r="H88">
        <v>179.2</v>
      </c>
      <c r="I88" t="s">
        <v>14</v>
      </c>
      <c r="J88" s="1">
        <v>44326</v>
      </c>
      <c r="K88" t="s">
        <v>73</v>
      </c>
    </row>
    <row r="89" spans="1:11" x14ac:dyDescent="0.3">
      <c r="A89" t="s">
        <v>207</v>
      </c>
      <c r="B89" t="s">
        <v>208</v>
      </c>
      <c r="C89" t="s">
        <v>12</v>
      </c>
      <c r="D89">
        <v>39</v>
      </c>
      <c r="E89" s="20" t="str">
        <f t="shared" si="1"/>
        <v>36-45</v>
      </c>
      <c r="F89" t="s">
        <v>59</v>
      </c>
      <c r="G89">
        <v>1</v>
      </c>
      <c r="H89">
        <v>35.840000000000003</v>
      </c>
      <c r="I89" t="s">
        <v>23</v>
      </c>
      <c r="J89" s="1">
        <v>44375</v>
      </c>
      <c r="K89" t="s">
        <v>43</v>
      </c>
    </row>
    <row r="90" spans="1:11" x14ac:dyDescent="0.3">
      <c r="A90" t="s">
        <v>209</v>
      </c>
      <c r="B90" t="s">
        <v>210</v>
      </c>
      <c r="C90" t="s">
        <v>12</v>
      </c>
      <c r="D90">
        <v>45</v>
      </c>
      <c r="E90" s="20" t="str">
        <f t="shared" si="1"/>
        <v>36-45</v>
      </c>
      <c r="F90" t="s">
        <v>13</v>
      </c>
      <c r="G90">
        <v>3</v>
      </c>
      <c r="H90">
        <v>900.24</v>
      </c>
      <c r="I90" t="s">
        <v>14</v>
      </c>
      <c r="J90" s="1">
        <v>44772</v>
      </c>
      <c r="K90" t="s">
        <v>19</v>
      </c>
    </row>
    <row r="91" spans="1:11" x14ac:dyDescent="0.3">
      <c r="A91" t="s">
        <v>211</v>
      </c>
      <c r="B91" t="s">
        <v>212</v>
      </c>
      <c r="C91" t="s">
        <v>22</v>
      </c>
      <c r="D91">
        <v>66</v>
      </c>
      <c r="E91" s="20" t="str">
        <f t="shared" si="1"/>
        <v>60+</v>
      </c>
      <c r="F91" t="s">
        <v>13</v>
      </c>
      <c r="G91">
        <v>2</v>
      </c>
      <c r="H91">
        <v>600.16</v>
      </c>
      <c r="I91" t="s">
        <v>28</v>
      </c>
      <c r="J91" s="1">
        <v>44786</v>
      </c>
      <c r="K91" t="s">
        <v>43</v>
      </c>
    </row>
    <row r="92" spans="1:11" x14ac:dyDescent="0.3">
      <c r="A92" t="s">
        <v>213</v>
      </c>
      <c r="B92" t="s">
        <v>214</v>
      </c>
      <c r="C92" t="s">
        <v>22</v>
      </c>
      <c r="D92">
        <v>33</v>
      </c>
      <c r="E92" s="20" t="str">
        <f t="shared" si="1"/>
        <v>26-35</v>
      </c>
      <c r="F92" t="s">
        <v>37</v>
      </c>
      <c r="G92">
        <v>3</v>
      </c>
      <c r="H92">
        <v>15.69</v>
      </c>
      <c r="I92" t="s">
        <v>28</v>
      </c>
      <c r="J92" s="1">
        <v>44605</v>
      </c>
      <c r="K92" t="s">
        <v>43</v>
      </c>
    </row>
    <row r="93" spans="1:11" x14ac:dyDescent="0.3">
      <c r="A93" t="s">
        <v>215</v>
      </c>
      <c r="B93" t="s">
        <v>216</v>
      </c>
      <c r="C93" t="s">
        <v>12</v>
      </c>
      <c r="D93">
        <v>45</v>
      </c>
      <c r="E93" s="20" t="str">
        <f t="shared" si="1"/>
        <v>36-45</v>
      </c>
      <c r="F93" t="s">
        <v>18</v>
      </c>
      <c r="G93">
        <v>3</v>
      </c>
      <c r="H93">
        <v>121.98</v>
      </c>
      <c r="I93" t="s">
        <v>28</v>
      </c>
      <c r="J93" s="1">
        <v>44554</v>
      </c>
      <c r="K93" t="s">
        <v>24</v>
      </c>
    </row>
    <row r="94" spans="1:11" x14ac:dyDescent="0.3">
      <c r="A94" t="s">
        <v>217</v>
      </c>
      <c r="B94" t="s">
        <v>218</v>
      </c>
      <c r="C94" t="s">
        <v>12</v>
      </c>
      <c r="D94">
        <v>18</v>
      </c>
      <c r="E94" s="20" t="str">
        <f t="shared" si="1"/>
        <v>18-25</v>
      </c>
      <c r="F94" t="s">
        <v>13</v>
      </c>
      <c r="G94">
        <v>5</v>
      </c>
      <c r="H94">
        <v>1500.4</v>
      </c>
      <c r="I94" t="s">
        <v>23</v>
      </c>
      <c r="J94" s="1">
        <v>44411</v>
      </c>
      <c r="K94" t="s">
        <v>84</v>
      </c>
    </row>
    <row r="95" spans="1:11" x14ac:dyDescent="0.3">
      <c r="A95" t="s">
        <v>219</v>
      </c>
      <c r="B95" t="s">
        <v>220</v>
      </c>
      <c r="C95" t="s">
        <v>22</v>
      </c>
      <c r="D95">
        <v>21</v>
      </c>
      <c r="E95" s="20" t="str">
        <f t="shared" si="1"/>
        <v>18-25</v>
      </c>
      <c r="F95" t="s">
        <v>13</v>
      </c>
      <c r="G95">
        <v>2</v>
      </c>
      <c r="H95">
        <v>600.16</v>
      </c>
      <c r="I95" t="s">
        <v>14</v>
      </c>
      <c r="J95" s="1">
        <v>44789</v>
      </c>
      <c r="K95" t="s">
        <v>24</v>
      </c>
    </row>
    <row r="96" spans="1:11" x14ac:dyDescent="0.3">
      <c r="A96" t="s">
        <v>221</v>
      </c>
      <c r="B96" t="s">
        <v>222</v>
      </c>
      <c r="C96" t="s">
        <v>22</v>
      </c>
      <c r="D96">
        <v>28</v>
      </c>
      <c r="E96" s="20" t="str">
        <f t="shared" si="1"/>
        <v>26-35</v>
      </c>
      <c r="F96" t="s">
        <v>37</v>
      </c>
      <c r="G96">
        <v>3</v>
      </c>
      <c r="H96">
        <v>15.69</v>
      </c>
      <c r="I96" t="s">
        <v>14</v>
      </c>
      <c r="J96" s="1">
        <v>44893</v>
      </c>
      <c r="K96" t="s">
        <v>43</v>
      </c>
    </row>
    <row r="97" spans="1:11" x14ac:dyDescent="0.3">
      <c r="A97" t="s">
        <v>223</v>
      </c>
      <c r="B97" t="s">
        <v>224</v>
      </c>
      <c r="C97" t="s">
        <v>12</v>
      </c>
      <c r="D97">
        <v>52</v>
      </c>
      <c r="E97" s="20" t="str">
        <f t="shared" si="1"/>
        <v>46-60</v>
      </c>
      <c r="F97" t="s">
        <v>37</v>
      </c>
      <c r="G97">
        <v>3</v>
      </c>
      <c r="H97">
        <v>15.69</v>
      </c>
      <c r="I97" t="s">
        <v>14</v>
      </c>
      <c r="J97" s="1">
        <v>44907</v>
      </c>
      <c r="K97" t="s">
        <v>84</v>
      </c>
    </row>
    <row r="98" spans="1:11" x14ac:dyDescent="0.3">
      <c r="A98" t="s">
        <v>225</v>
      </c>
      <c r="B98" t="s">
        <v>226</v>
      </c>
      <c r="C98" t="s">
        <v>12</v>
      </c>
      <c r="D98">
        <v>19</v>
      </c>
      <c r="E98" s="20" t="str">
        <f t="shared" si="1"/>
        <v>18-25</v>
      </c>
      <c r="F98" t="s">
        <v>13</v>
      </c>
      <c r="G98">
        <v>5</v>
      </c>
      <c r="H98">
        <v>1500.4</v>
      </c>
      <c r="I98" t="s">
        <v>14</v>
      </c>
      <c r="J98" s="1">
        <v>44834</v>
      </c>
      <c r="K98" t="s">
        <v>24</v>
      </c>
    </row>
    <row r="99" spans="1:11" x14ac:dyDescent="0.3">
      <c r="A99" t="s">
        <v>227</v>
      </c>
      <c r="B99" t="s">
        <v>228</v>
      </c>
      <c r="C99" t="s">
        <v>22</v>
      </c>
      <c r="D99">
        <v>20</v>
      </c>
      <c r="E99" s="20" t="str">
        <f t="shared" si="1"/>
        <v>18-25</v>
      </c>
      <c r="F99" t="s">
        <v>13</v>
      </c>
      <c r="G99">
        <v>4</v>
      </c>
      <c r="H99">
        <v>1200.32</v>
      </c>
      <c r="I99" t="s">
        <v>28</v>
      </c>
      <c r="J99" s="1">
        <v>44428</v>
      </c>
      <c r="K99" t="s">
        <v>24</v>
      </c>
    </row>
    <row r="100" spans="1:11" x14ac:dyDescent="0.3">
      <c r="A100" t="s">
        <v>229</v>
      </c>
      <c r="B100" t="s">
        <v>230</v>
      </c>
      <c r="C100" t="s">
        <v>22</v>
      </c>
      <c r="D100">
        <v>58</v>
      </c>
      <c r="E100" s="20" t="str">
        <f t="shared" si="1"/>
        <v>46-60</v>
      </c>
      <c r="F100" t="s">
        <v>13</v>
      </c>
      <c r="G100">
        <v>3</v>
      </c>
      <c r="H100">
        <v>900.24</v>
      </c>
      <c r="I100" t="s">
        <v>28</v>
      </c>
      <c r="J100" s="1">
        <v>44585</v>
      </c>
      <c r="K100" t="s">
        <v>43</v>
      </c>
    </row>
    <row r="101" spans="1:11" x14ac:dyDescent="0.3">
      <c r="A101" t="s">
        <v>231</v>
      </c>
      <c r="B101" t="s">
        <v>232</v>
      </c>
      <c r="C101" t="s">
        <v>12</v>
      </c>
      <c r="D101">
        <v>18</v>
      </c>
      <c r="E101" s="20" t="str">
        <f t="shared" si="1"/>
        <v>18-25</v>
      </c>
      <c r="F101" t="s">
        <v>37</v>
      </c>
      <c r="G101">
        <v>1</v>
      </c>
      <c r="H101">
        <v>5.23</v>
      </c>
      <c r="I101" t="s">
        <v>14</v>
      </c>
      <c r="J101" s="1">
        <v>44753</v>
      </c>
      <c r="K101" t="s">
        <v>24</v>
      </c>
    </row>
    <row r="102" spans="1:11" x14ac:dyDescent="0.3">
      <c r="A102" t="s">
        <v>233</v>
      </c>
      <c r="B102" t="s">
        <v>234</v>
      </c>
      <c r="C102" t="s">
        <v>22</v>
      </c>
      <c r="D102">
        <v>46</v>
      </c>
      <c r="E102" s="20" t="str">
        <f t="shared" si="1"/>
        <v>46-60</v>
      </c>
      <c r="F102" t="s">
        <v>18</v>
      </c>
      <c r="G102">
        <v>4</v>
      </c>
      <c r="H102">
        <v>162.63999999999999</v>
      </c>
      <c r="I102" t="s">
        <v>14</v>
      </c>
      <c r="J102" s="1">
        <v>44673</v>
      </c>
      <c r="K102" t="s">
        <v>24</v>
      </c>
    </row>
    <row r="103" spans="1:11" x14ac:dyDescent="0.3">
      <c r="A103" t="s">
        <v>235</v>
      </c>
      <c r="B103" t="s">
        <v>236</v>
      </c>
      <c r="C103" t="s">
        <v>22</v>
      </c>
      <c r="D103">
        <v>55</v>
      </c>
      <c r="E103" s="20" t="str">
        <f t="shared" si="1"/>
        <v>46-60</v>
      </c>
      <c r="F103" t="s">
        <v>13</v>
      </c>
      <c r="G103">
        <v>4</v>
      </c>
      <c r="H103">
        <v>1200.32</v>
      </c>
      <c r="I103" t="s">
        <v>14</v>
      </c>
      <c r="J103" s="1">
        <v>44671</v>
      </c>
      <c r="K103" t="s">
        <v>40</v>
      </c>
    </row>
    <row r="104" spans="1:11" x14ac:dyDescent="0.3">
      <c r="A104" t="s">
        <v>237</v>
      </c>
      <c r="B104" t="s">
        <v>238</v>
      </c>
      <c r="C104" t="s">
        <v>12</v>
      </c>
      <c r="D104">
        <v>34</v>
      </c>
      <c r="E104" s="20" t="str">
        <f t="shared" si="1"/>
        <v>26-35</v>
      </c>
      <c r="F104" t="s">
        <v>37</v>
      </c>
      <c r="G104">
        <v>2</v>
      </c>
      <c r="H104">
        <v>10.46</v>
      </c>
      <c r="I104" t="s">
        <v>28</v>
      </c>
      <c r="J104" s="1">
        <v>44863</v>
      </c>
      <c r="K104" t="s">
        <v>15</v>
      </c>
    </row>
    <row r="105" spans="1:11" x14ac:dyDescent="0.3">
      <c r="A105" t="s">
        <v>239</v>
      </c>
      <c r="B105" t="s">
        <v>240</v>
      </c>
      <c r="C105" t="s">
        <v>22</v>
      </c>
      <c r="D105">
        <v>64</v>
      </c>
      <c r="E105" s="20" t="str">
        <f t="shared" si="1"/>
        <v>60+</v>
      </c>
      <c r="F105" t="s">
        <v>18</v>
      </c>
      <c r="G105">
        <v>4</v>
      </c>
      <c r="H105">
        <v>162.63999999999999</v>
      </c>
      <c r="I105" t="s">
        <v>14</v>
      </c>
      <c r="J105" s="1">
        <v>44882</v>
      </c>
      <c r="K105" t="s">
        <v>34</v>
      </c>
    </row>
    <row r="106" spans="1:11" x14ac:dyDescent="0.3">
      <c r="A106" t="s">
        <v>241</v>
      </c>
      <c r="B106" t="s">
        <v>242</v>
      </c>
      <c r="C106" t="s">
        <v>22</v>
      </c>
      <c r="D106">
        <v>30</v>
      </c>
      <c r="E106" s="20" t="str">
        <f t="shared" si="1"/>
        <v>26-35</v>
      </c>
      <c r="F106" t="s">
        <v>18</v>
      </c>
      <c r="G106">
        <v>3</v>
      </c>
      <c r="H106">
        <v>121.98</v>
      </c>
      <c r="I106" t="s">
        <v>23</v>
      </c>
      <c r="J106" s="1">
        <v>44412</v>
      </c>
      <c r="K106" t="s">
        <v>15</v>
      </c>
    </row>
    <row r="107" spans="1:11" x14ac:dyDescent="0.3">
      <c r="A107" t="s">
        <v>243</v>
      </c>
      <c r="B107" t="s">
        <v>244</v>
      </c>
      <c r="C107" t="s">
        <v>12</v>
      </c>
      <c r="D107">
        <v>40</v>
      </c>
      <c r="E107" s="20" t="str">
        <f t="shared" si="1"/>
        <v>36-45</v>
      </c>
      <c r="F107" t="s">
        <v>48</v>
      </c>
      <c r="G107">
        <v>2</v>
      </c>
      <c r="H107">
        <v>1200.3399999999999</v>
      </c>
      <c r="I107" t="s">
        <v>14</v>
      </c>
      <c r="J107" s="1">
        <v>44908</v>
      </c>
      <c r="K107" t="s">
        <v>73</v>
      </c>
    </row>
    <row r="108" spans="1:11" x14ac:dyDescent="0.3">
      <c r="A108" t="s">
        <v>245</v>
      </c>
      <c r="B108" t="s">
        <v>246</v>
      </c>
      <c r="C108" t="s">
        <v>22</v>
      </c>
      <c r="D108">
        <v>21</v>
      </c>
      <c r="E108" s="20" t="str">
        <f t="shared" si="1"/>
        <v>18-25</v>
      </c>
      <c r="F108" t="s">
        <v>13</v>
      </c>
      <c r="G108">
        <v>2</v>
      </c>
      <c r="H108">
        <v>600.16</v>
      </c>
      <c r="I108" t="s">
        <v>14</v>
      </c>
      <c r="J108" s="1">
        <v>44844</v>
      </c>
      <c r="K108" t="s">
        <v>15</v>
      </c>
    </row>
    <row r="109" spans="1:11" x14ac:dyDescent="0.3">
      <c r="A109" t="s">
        <v>247</v>
      </c>
      <c r="B109" t="s">
        <v>248</v>
      </c>
      <c r="C109" t="s">
        <v>22</v>
      </c>
      <c r="D109">
        <v>59</v>
      </c>
      <c r="E109" s="20" t="str">
        <f t="shared" si="1"/>
        <v>46-60</v>
      </c>
      <c r="F109" t="s">
        <v>59</v>
      </c>
      <c r="G109">
        <v>2</v>
      </c>
      <c r="H109">
        <v>71.680000000000007</v>
      </c>
      <c r="I109" t="s">
        <v>28</v>
      </c>
      <c r="J109" s="1">
        <v>44704</v>
      </c>
      <c r="K109" t="s">
        <v>53</v>
      </c>
    </row>
    <row r="110" spans="1:11" x14ac:dyDescent="0.3">
      <c r="A110" t="s">
        <v>249</v>
      </c>
      <c r="B110" t="s">
        <v>250</v>
      </c>
      <c r="C110" t="s">
        <v>12</v>
      </c>
      <c r="D110">
        <v>66</v>
      </c>
      <c r="E110" s="20" t="str">
        <f t="shared" si="1"/>
        <v>60+</v>
      </c>
      <c r="F110" t="s">
        <v>18</v>
      </c>
      <c r="G110">
        <v>3</v>
      </c>
      <c r="H110">
        <v>121.98</v>
      </c>
      <c r="I110" t="s">
        <v>23</v>
      </c>
      <c r="J110" s="1">
        <v>44700</v>
      </c>
      <c r="K110" t="s">
        <v>43</v>
      </c>
    </row>
    <row r="111" spans="1:11" x14ac:dyDescent="0.3">
      <c r="A111" t="s">
        <v>251</v>
      </c>
      <c r="B111" t="s">
        <v>252</v>
      </c>
      <c r="C111" t="s">
        <v>22</v>
      </c>
      <c r="D111">
        <v>61</v>
      </c>
      <c r="E111" s="20" t="str">
        <f t="shared" si="1"/>
        <v>60+</v>
      </c>
      <c r="F111" t="s">
        <v>13</v>
      </c>
      <c r="G111">
        <v>5</v>
      </c>
      <c r="H111">
        <v>1500.4</v>
      </c>
      <c r="I111" t="s">
        <v>23</v>
      </c>
      <c r="J111" s="1">
        <v>44925</v>
      </c>
      <c r="K111" t="s">
        <v>60</v>
      </c>
    </row>
    <row r="112" spans="1:11" x14ac:dyDescent="0.3">
      <c r="A112" t="s">
        <v>253</v>
      </c>
      <c r="B112" t="s">
        <v>254</v>
      </c>
      <c r="C112" t="s">
        <v>22</v>
      </c>
      <c r="D112">
        <v>69</v>
      </c>
      <c r="E112" s="20" t="str">
        <f t="shared" si="1"/>
        <v>60+</v>
      </c>
      <c r="F112" t="s">
        <v>37</v>
      </c>
      <c r="G112">
        <v>3</v>
      </c>
      <c r="H112">
        <v>15.69</v>
      </c>
      <c r="I112" t="s">
        <v>28</v>
      </c>
      <c r="J112" s="1">
        <v>44673</v>
      </c>
      <c r="K112" t="s">
        <v>43</v>
      </c>
    </row>
    <row r="113" spans="1:11" x14ac:dyDescent="0.3">
      <c r="A113" t="s">
        <v>255</v>
      </c>
      <c r="B113" t="s">
        <v>256</v>
      </c>
      <c r="C113" t="s">
        <v>12</v>
      </c>
      <c r="D113">
        <v>26</v>
      </c>
      <c r="E113" s="20" t="str">
        <f t="shared" si="1"/>
        <v>26-35</v>
      </c>
      <c r="F113" t="s">
        <v>18</v>
      </c>
      <c r="G113">
        <v>5</v>
      </c>
      <c r="H113">
        <v>203.3</v>
      </c>
      <c r="I113" t="s">
        <v>28</v>
      </c>
      <c r="J113" s="1">
        <v>44757</v>
      </c>
      <c r="K113" t="s">
        <v>34</v>
      </c>
    </row>
    <row r="114" spans="1:11" x14ac:dyDescent="0.3">
      <c r="A114" t="s">
        <v>257</v>
      </c>
      <c r="B114" t="s">
        <v>258</v>
      </c>
      <c r="C114" t="s">
        <v>22</v>
      </c>
      <c r="D114">
        <v>39</v>
      </c>
      <c r="E114" s="20" t="str">
        <f t="shared" si="1"/>
        <v>36-45</v>
      </c>
      <c r="F114" t="s">
        <v>37</v>
      </c>
      <c r="G114">
        <v>1</v>
      </c>
      <c r="H114">
        <v>5.23</v>
      </c>
      <c r="I114" t="s">
        <v>14</v>
      </c>
      <c r="J114" s="1">
        <v>44774</v>
      </c>
      <c r="K114" t="s">
        <v>60</v>
      </c>
    </row>
    <row r="115" spans="1:11" x14ac:dyDescent="0.3">
      <c r="A115" t="s">
        <v>259</v>
      </c>
      <c r="B115" t="s">
        <v>260</v>
      </c>
      <c r="C115" t="s">
        <v>12</v>
      </c>
      <c r="D115">
        <v>62</v>
      </c>
      <c r="E115" s="20" t="str">
        <f t="shared" si="1"/>
        <v>60+</v>
      </c>
      <c r="F115" t="s">
        <v>37</v>
      </c>
      <c r="G115">
        <v>2</v>
      </c>
      <c r="H115">
        <v>10.46</v>
      </c>
      <c r="I115" t="s">
        <v>14</v>
      </c>
      <c r="J115" s="1">
        <v>44741</v>
      </c>
      <c r="K115" t="s">
        <v>19</v>
      </c>
    </row>
    <row r="116" spans="1:11" x14ac:dyDescent="0.3">
      <c r="A116" t="s">
        <v>261</v>
      </c>
      <c r="B116" t="s">
        <v>262</v>
      </c>
      <c r="C116" t="s">
        <v>12</v>
      </c>
      <c r="D116">
        <v>22</v>
      </c>
      <c r="E116" s="20" t="str">
        <f t="shared" si="1"/>
        <v>18-25</v>
      </c>
      <c r="F116" t="s">
        <v>31</v>
      </c>
      <c r="G116">
        <v>1</v>
      </c>
      <c r="H116">
        <v>1050</v>
      </c>
      <c r="I116" t="s">
        <v>28</v>
      </c>
      <c r="J116" s="1">
        <v>44432</v>
      </c>
      <c r="K116" t="s">
        <v>60</v>
      </c>
    </row>
    <row r="117" spans="1:11" x14ac:dyDescent="0.3">
      <c r="A117" t="s">
        <v>263</v>
      </c>
      <c r="B117" t="s">
        <v>264</v>
      </c>
      <c r="C117" t="s">
        <v>22</v>
      </c>
      <c r="D117">
        <v>57</v>
      </c>
      <c r="E117" s="20" t="str">
        <f t="shared" si="1"/>
        <v>46-60</v>
      </c>
      <c r="F117" t="s">
        <v>13</v>
      </c>
      <c r="G117">
        <v>5</v>
      </c>
      <c r="H117">
        <v>1500.4</v>
      </c>
      <c r="I117" t="s">
        <v>14</v>
      </c>
      <c r="J117" s="1">
        <v>44859</v>
      </c>
      <c r="K117" t="s">
        <v>43</v>
      </c>
    </row>
    <row r="118" spans="1:11" x14ac:dyDescent="0.3">
      <c r="A118" t="s">
        <v>265</v>
      </c>
      <c r="B118" t="s">
        <v>266</v>
      </c>
      <c r="C118" t="s">
        <v>22</v>
      </c>
      <c r="D118">
        <v>23</v>
      </c>
      <c r="E118" s="20" t="str">
        <f t="shared" si="1"/>
        <v>18-25</v>
      </c>
      <c r="F118" t="s">
        <v>18</v>
      </c>
      <c r="G118">
        <v>3</v>
      </c>
      <c r="H118">
        <v>121.98</v>
      </c>
      <c r="I118" t="s">
        <v>23</v>
      </c>
      <c r="J118" s="1">
        <v>44318</v>
      </c>
      <c r="K118" t="s">
        <v>53</v>
      </c>
    </row>
    <row r="119" spans="1:11" x14ac:dyDescent="0.3">
      <c r="A119" t="s">
        <v>267</v>
      </c>
      <c r="B119" t="s">
        <v>268</v>
      </c>
      <c r="C119" t="s">
        <v>22</v>
      </c>
      <c r="D119">
        <v>21</v>
      </c>
      <c r="E119" s="20" t="str">
        <f t="shared" si="1"/>
        <v>18-25</v>
      </c>
      <c r="F119" t="s">
        <v>18</v>
      </c>
      <c r="G119">
        <v>5</v>
      </c>
      <c r="H119">
        <v>203.3</v>
      </c>
      <c r="I119" t="s">
        <v>14</v>
      </c>
      <c r="J119" s="1">
        <v>44461</v>
      </c>
      <c r="K119" t="s">
        <v>34</v>
      </c>
    </row>
    <row r="120" spans="1:11" x14ac:dyDescent="0.3">
      <c r="A120" t="s">
        <v>269</v>
      </c>
      <c r="B120" t="s">
        <v>270</v>
      </c>
      <c r="C120" t="s">
        <v>22</v>
      </c>
      <c r="D120">
        <v>26</v>
      </c>
      <c r="E120" s="20" t="str">
        <f t="shared" si="1"/>
        <v>26-35</v>
      </c>
      <c r="F120" t="s">
        <v>37</v>
      </c>
      <c r="G120">
        <v>5</v>
      </c>
      <c r="H120">
        <v>26.15</v>
      </c>
      <c r="I120" t="s">
        <v>14</v>
      </c>
      <c r="J120" s="1">
        <v>44376</v>
      </c>
      <c r="K120" t="s">
        <v>19</v>
      </c>
    </row>
    <row r="121" spans="1:11" x14ac:dyDescent="0.3">
      <c r="A121" t="s">
        <v>271</v>
      </c>
      <c r="B121" t="s">
        <v>272</v>
      </c>
      <c r="C121" t="s">
        <v>22</v>
      </c>
      <c r="D121">
        <v>54</v>
      </c>
      <c r="E121" s="20" t="str">
        <f t="shared" si="1"/>
        <v>46-60</v>
      </c>
      <c r="F121" t="s">
        <v>13</v>
      </c>
      <c r="G121">
        <v>2</v>
      </c>
      <c r="H121">
        <v>600.16</v>
      </c>
      <c r="I121" t="s">
        <v>23</v>
      </c>
      <c r="J121" s="1">
        <v>44301</v>
      </c>
      <c r="K121" t="s">
        <v>40</v>
      </c>
    </row>
    <row r="122" spans="1:11" x14ac:dyDescent="0.3">
      <c r="A122" t="s">
        <v>273</v>
      </c>
      <c r="B122" t="s">
        <v>274</v>
      </c>
      <c r="C122" t="s">
        <v>22</v>
      </c>
      <c r="D122">
        <v>47</v>
      </c>
      <c r="E122" s="20" t="str">
        <f t="shared" si="1"/>
        <v>46-60</v>
      </c>
      <c r="F122" t="s">
        <v>13</v>
      </c>
      <c r="G122">
        <v>5</v>
      </c>
      <c r="H122">
        <v>1500.4</v>
      </c>
      <c r="I122" t="s">
        <v>28</v>
      </c>
      <c r="J122" s="1">
        <v>44335</v>
      </c>
      <c r="K122" t="s">
        <v>15</v>
      </c>
    </row>
    <row r="123" spans="1:11" x14ac:dyDescent="0.3">
      <c r="A123" t="s">
        <v>275</v>
      </c>
      <c r="B123" t="s">
        <v>276</v>
      </c>
      <c r="C123" t="s">
        <v>22</v>
      </c>
      <c r="D123">
        <v>69</v>
      </c>
      <c r="E123" s="20" t="str">
        <f t="shared" si="1"/>
        <v>60+</v>
      </c>
      <c r="F123" t="s">
        <v>13</v>
      </c>
      <c r="G123">
        <v>1</v>
      </c>
      <c r="H123">
        <v>300.08</v>
      </c>
      <c r="I123" t="s">
        <v>23</v>
      </c>
      <c r="J123" s="1">
        <v>44382</v>
      </c>
      <c r="K123" t="s">
        <v>73</v>
      </c>
    </row>
    <row r="124" spans="1:11" x14ac:dyDescent="0.3">
      <c r="A124" t="s">
        <v>277</v>
      </c>
      <c r="B124" t="s">
        <v>278</v>
      </c>
      <c r="C124" t="s">
        <v>12</v>
      </c>
      <c r="D124">
        <v>61</v>
      </c>
      <c r="E124" s="20" t="str">
        <f t="shared" si="1"/>
        <v>60+</v>
      </c>
      <c r="F124" t="s">
        <v>37</v>
      </c>
      <c r="G124">
        <v>5</v>
      </c>
      <c r="H124">
        <v>26.15</v>
      </c>
      <c r="I124" t="s">
        <v>14</v>
      </c>
      <c r="J124" s="1">
        <v>44522</v>
      </c>
      <c r="K124" t="s">
        <v>43</v>
      </c>
    </row>
    <row r="125" spans="1:11" x14ac:dyDescent="0.3">
      <c r="A125" t="s">
        <v>279</v>
      </c>
      <c r="B125" t="s">
        <v>280</v>
      </c>
      <c r="C125" t="s">
        <v>22</v>
      </c>
      <c r="D125">
        <v>63</v>
      </c>
      <c r="E125" s="20" t="str">
        <f t="shared" si="1"/>
        <v>60+</v>
      </c>
      <c r="F125" t="s">
        <v>37</v>
      </c>
      <c r="G125">
        <v>1</v>
      </c>
      <c r="H125">
        <v>5.23</v>
      </c>
      <c r="I125" t="s">
        <v>28</v>
      </c>
      <c r="J125" s="1">
        <v>44578</v>
      </c>
      <c r="K125" t="s">
        <v>43</v>
      </c>
    </row>
    <row r="126" spans="1:11" x14ac:dyDescent="0.3">
      <c r="A126" t="s">
        <v>281</v>
      </c>
      <c r="B126" t="s">
        <v>282</v>
      </c>
      <c r="C126" t="s">
        <v>22</v>
      </c>
      <c r="D126">
        <v>62</v>
      </c>
      <c r="E126" s="20" t="str">
        <f t="shared" si="1"/>
        <v>60+</v>
      </c>
      <c r="F126" t="s">
        <v>59</v>
      </c>
      <c r="G126">
        <v>3</v>
      </c>
      <c r="H126">
        <v>107.52</v>
      </c>
      <c r="I126" t="s">
        <v>23</v>
      </c>
      <c r="J126" s="1">
        <v>44553</v>
      </c>
      <c r="K126" t="s">
        <v>34</v>
      </c>
    </row>
    <row r="127" spans="1:11" x14ac:dyDescent="0.3">
      <c r="A127" t="s">
        <v>283</v>
      </c>
      <c r="B127" t="s">
        <v>284</v>
      </c>
      <c r="C127" t="s">
        <v>22</v>
      </c>
      <c r="D127">
        <v>36</v>
      </c>
      <c r="E127" s="20" t="str">
        <f t="shared" si="1"/>
        <v>36-45</v>
      </c>
      <c r="F127" t="s">
        <v>13</v>
      </c>
      <c r="G127">
        <v>2</v>
      </c>
      <c r="H127">
        <v>600.16</v>
      </c>
      <c r="I127" t="s">
        <v>14</v>
      </c>
      <c r="J127" s="1">
        <v>44897</v>
      </c>
      <c r="K127" t="s">
        <v>53</v>
      </c>
    </row>
    <row r="128" spans="1:11" x14ac:dyDescent="0.3">
      <c r="A128" t="s">
        <v>285</v>
      </c>
      <c r="B128" t="s">
        <v>286</v>
      </c>
      <c r="C128" t="s">
        <v>22</v>
      </c>
      <c r="D128">
        <v>21</v>
      </c>
      <c r="E128" s="20" t="str">
        <f t="shared" si="1"/>
        <v>18-25</v>
      </c>
      <c r="F128" t="s">
        <v>37</v>
      </c>
      <c r="G128">
        <v>2</v>
      </c>
      <c r="H128">
        <v>10.46</v>
      </c>
      <c r="I128" t="s">
        <v>14</v>
      </c>
      <c r="J128" s="1">
        <v>44332</v>
      </c>
      <c r="K128" t="s">
        <v>24</v>
      </c>
    </row>
    <row r="129" spans="1:11" x14ac:dyDescent="0.3">
      <c r="A129" t="s">
        <v>287</v>
      </c>
      <c r="B129" t="s">
        <v>288</v>
      </c>
      <c r="C129" t="s">
        <v>22</v>
      </c>
      <c r="D129">
        <v>34</v>
      </c>
      <c r="E129" s="20" t="str">
        <f t="shared" si="1"/>
        <v>26-35</v>
      </c>
      <c r="F129" t="s">
        <v>18</v>
      </c>
      <c r="G129">
        <v>1</v>
      </c>
      <c r="H129">
        <v>40.659999999999997</v>
      </c>
      <c r="I129" t="s">
        <v>23</v>
      </c>
      <c r="J129" s="1">
        <v>44463</v>
      </c>
      <c r="K129" t="s">
        <v>53</v>
      </c>
    </row>
    <row r="130" spans="1:11" x14ac:dyDescent="0.3">
      <c r="A130" t="s">
        <v>289</v>
      </c>
      <c r="B130" t="s">
        <v>290</v>
      </c>
      <c r="C130" t="s">
        <v>22</v>
      </c>
      <c r="D130">
        <v>46</v>
      </c>
      <c r="E130" s="20" t="str">
        <f t="shared" si="1"/>
        <v>46-60</v>
      </c>
      <c r="F130" t="s">
        <v>37</v>
      </c>
      <c r="G130">
        <v>5</v>
      </c>
      <c r="H130">
        <v>26.15</v>
      </c>
      <c r="I130" t="s">
        <v>14</v>
      </c>
      <c r="J130" s="1">
        <v>44593</v>
      </c>
      <c r="K130" t="s">
        <v>24</v>
      </c>
    </row>
    <row r="131" spans="1:11" x14ac:dyDescent="0.3">
      <c r="A131" t="s">
        <v>291</v>
      </c>
      <c r="B131" t="s">
        <v>292</v>
      </c>
      <c r="C131" t="s">
        <v>22</v>
      </c>
      <c r="D131">
        <v>62</v>
      </c>
      <c r="E131" s="20" t="str">
        <f t="shared" ref="E131:E194" si="2">IF(D131&lt;18,"Below 18",IF(D131&lt;=25,"18-25",IF(D131&lt;=35,"26-35",IF(D131&lt;=45,"36-45",IF(D131&lt;=60,"46-60","60+")))))</f>
        <v>60+</v>
      </c>
      <c r="F131" t="s">
        <v>48</v>
      </c>
      <c r="G131">
        <v>4</v>
      </c>
      <c r="H131">
        <v>2400.6799999999998</v>
      </c>
      <c r="I131" t="s">
        <v>28</v>
      </c>
      <c r="J131" s="1">
        <v>44212</v>
      </c>
      <c r="K131" t="s">
        <v>34</v>
      </c>
    </row>
    <row r="132" spans="1:11" x14ac:dyDescent="0.3">
      <c r="A132" t="s">
        <v>293</v>
      </c>
      <c r="B132" t="s">
        <v>294</v>
      </c>
      <c r="C132" t="s">
        <v>22</v>
      </c>
      <c r="D132">
        <v>34</v>
      </c>
      <c r="E132" s="20" t="str">
        <f t="shared" si="2"/>
        <v>26-35</v>
      </c>
      <c r="F132" t="s">
        <v>48</v>
      </c>
      <c r="G132">
        <v>3</v>
      </c>
      <c r="H132">
        <v>1800.51</v>
      </c>
      <c r="I132" t="s">
        <v>28</v>
      </c>
      <c r="J132" s="1">
        <v>44991</v>
      </c>
      <c r="K132" t="s">
        <v>73</v>
      </c>
    </row>
    <row r="133" spans="1:11" x14ac:dyDescent="0.3">
      <c r="A133" t="s">
        <v>295</v>
      </c>
      <c r="B133" t="s">
        <v>296</v>
      </c>
      <c r="C133" t="s">
        <v>22</v>
      </c>
      <c r="D133">
        <v>64</v>
      </c>
      <c r="E133" s="20" t="str">
        <f t="shared" si="2"/>
        <v>60+</v>
      </c>
      <c r="F133" t="s">
        <v>18</v>
      </c>
      <c r="G133">
        <v>1</v>
      </c>
      <c r="H133">
        <v>40.659999999999997</v>
      </c>
      <c r="I133" t="s">
        <v>28</v>
      </c>
      <c r="J133" s="1">
        <v>44503</v>
      </c>
      <c r="K133" t="s">
        <v>24</v>
      </c>
    </row>
    <row r="134" spans="1:11" x14ac:dyDescent="0.3">
      <c r="A134" t="s">
        <v>297</v>
      </c>
      <c r="B134" t="s">
        <v>298</v>
      </c>
      <c r="C134" t="s">
        <v>12</v>
      </c>
      <c r="D134">
        <v>62</v>
      </c>
      <c r="E134" s="20" t="str">
        <f t="shared" si="2"/>
        <v>60+</v>
      </c>
      <c r="F134" t="s">
        <v>18</v>
      </c>
      <c r="G134">
        <v>3</v>
      </c>
      <c r="H134">
        <v>121.98</v>
      </c>
      <c r="I134" t="s">
        <v>28</v>
      </c>
      <c r="J134" s="1">
        <v>44363</v>
      </c>
      <c r="K134" t="s">
        <v>43</v>
      </c>
    </row>
    <row r="135" spans="1:11" x14ac:dyDescent="0.3">
      <c r="A135" t="s">
        <v>299</v>
      </c>
      <c r="B135" t="s">
        <v>300</v>
      </c>
      <c r="C135" t="s">
        <v>22</v>
      </c>
      <c r="D135">
        <v>37</v>
      </c>
      <c r="E135" s="20" t="str">
        <f t="shared" si="2"/>
        <v>36-45</v>
      </c>
      <c r="F135" t="s">
        <v>59</v>
      </c>
      <c r="G135">
        <v>3</v>
      </c>
      <c r="H135">
        <v>107.52</v>
      </c>
      <c r="I135" t="s">
        <v>14</v>
      </c>
      <c r="J135" s="1">
        <v>44417</v>
      </c>
      <c r="K135" t="s">
        <v>43</v>
      </c>
    </row>
    <row r="136" spans="1:11" x14ac:dyDescent="0.3">
      <c r="A136" t="s">
        <v>301</v>
      </c>
      <c r="B136" t="s">
        <v>302</v>
      </c>
      <c r="C136" t="s">
        <v>22</v>
      </c>
      <c r="D136">
        <v>35</v>
      </c>
      <c r="E136" s="20" t="str">
        <f t="shared" si="2"/>
        <v>26-35</v>
      </c>
      <c r="F136" t="s">
        <v>37</v>
      </c>
      <c r="G136">
        <v>2</v>
      </c>
      <c r="H136">
        <v>10.46</v>
      </c>
      <c r="I136" t="s">
        <v>28</v>
      </c>
      <c r="J136" s="1">
        <v>44822</v>
      </c>
      <c r="K136" t="s">
        <v>34</v>
      </c>
    </row>
    <row r="137" spans="1:11" x14ac:dyDescent="0.3">
      <c r="A137" t="s">
        <v>303</v>
      </c>
      <c r="B137" t="s">
        <v>304</v>
      </c>
      <c r="C137" t="s">
        <v>12</v>
      </c>
      <c r="D137">
        <v>56</v>
      </c>
      <c r="E137" s="20" t="str">
        <f t="shared" si="2"/>
        <v>46-60</v>
      </c>
      <c r="F137" t="s">
        <v>56</v>
      </c>
      <c r="G137">
        <v>2</v>
      </c>
      <c r="H137">
        <v>23.46</v>
      </c>
      <c r="I137" t="s">
        <v>23</v>
      </c>
      <c r="J137" s="1">
        <v>44936</v>
      </c>
      <c r="K137" t="s">
        <v>24</v>
      </c>
    </row>
    <row r="138" spans="1:11" x14ac:dyDescent="0.3">
      <c r="A138" t="s">
        <v>305</v>
      </c>
      <c r="B138" t="s">
        <v>306</v>
      </c>
      <c r="C138" t="s">
        <v>22</v>
      </c>
      <c r="D138">
        <v>46</v>
      </c>
      <c r="E138" s="20" t="str">
        <f t="shared" si="2"/>
        <v>46-60</v>
      </c>
      <c r="F138" t="s">
        <v>13</v>
      </c>
      <c r="G138">
        <v>3</v>
      </c>
      <c r="H138">
        <v>900.24</v>
      </c>
      <c r="I138" t="s">
        <v>14</v>
      </c>
      <c r="J138" s="1">
        <v>44759</v>
      </c>
      <c r="K138" t="s">
        <v>24</v>
      </c>
    </row>
    <row r="139" spans="1:11" x14ac:dyDescent="0.3">
      <c r="A139" t="s">
        <v>307</v>
      </c>
      <c r="B139" t="s">
        <v>308</v>
      </c>
      <c r="C139" t="s">
        <v>12</v>
      </c>
      <c r="D139">
        <v>53</v>
      </c>
      <c r="E139" s="20" t="str">
        <f t="shared" si="2"/>
        <v>46-60</v>
      </c>
      <c r="F139" t="s">
        <v>56</v>
      </c>
      <c r="G139">
        <v>2</v>
      </c>
      <c r="H139">
        <v>23.46</v>
      </c>
      <c r="I139" t="s">
        <v>28</v>
      </c>
      <c r="J139" s="1">
        <v>44672</v>
      </c>
      <c r="K139" t="s">
        <v>24</v>
      </c>
    </row>
    <row r="140" spans="1:11" x14ac:dyDescent="0.3">
      <c r="A140" t="s">
        <v>309</v>
      </c>
      <c r="B140" t="s">
        <v>310</v>
      </c>
      <c r="C140" t="s">
        <v>22</v>
      </c>
      <c r="D140">
        <v>69</v>
      </c>
      <c r="E140" s="20" t="str">
        <f t="shared" si="2"/>
        <v>60+</v>
      </c>
      <c r="F140" t="s">
        <v>18</v>
      </c>
      <c r="G140">
        <v>3</v>
      </c>
      <c r="H140">
        <v>121.98</v>
      </c>
      <c r="I140" t="s">
        <v>28</v>
      </c>
      <c r="J140" s="1">
        <v>44383</v>
      </c>
      <c r="K140" t="s">
        <v>19</v>
      </c>
    </row>
    <row r="141" spans="1:11" x14ac:dyDescent="0.3">
      <c r="A141" t="s">
        <v>311</v>
      </c>
      <c r="B141" t="s">
        <v>312</v>
      </c>
      <c r="C141" t="s">
        <v>22</v>
      </c>
      <c r="D141">
        <v>33</v>
      </c>
      <c r="E141" s="20" t="str">
        <f t="shared" si="2"/>
        <v>26-35</v>
      </c>
      <c r="F141" t="s">
        <v>37</v>
      </c>
      <c r="G141">
        <v>4</v>
      </c>
      <c r="H141">
        <v>20.92</v>
      </c>
      <c r="I141" t="s">
        <v>23</v>
      </c>
      <c r="J141" s="1">
        <v>44308</v>
      </c>
      <c r="K141" t="s">
        <v>34</v>
      </c>
    </row>
    <row r="142" spans="1:11" x14ac:dyDescent="0.3">
      <c r="A142" t="s">
        <v>313</v>
      </c>
      <c r="B142" t="s">
        <v>314</v>
      </c>
      <c r="C142" t="s">
        <v>22</v>
      </c>
      <c r="D142">
        <v>52</v>
      </c>
      <c r="E142" s="20" t="str">
        <f t="shared" si="2"/>
        <v>46-60</v>
      </c>
      <c r="F142" t="s">
        <v>18</v>
      </c>
      <c r="G142">
        <v>1</v>
      </c>
      <c r="H142">
        <v>40.659999999999997</v>
      </c>
      <c r="I142" t="s">
        <v>14</v>
      </c>
      <c r="J142" s="1">
        <v>44437</v>
      </c>
      <c r="K142" t="s">
        <v>60</v>
      </c>
    </row>
    <row r="143" spans="1:11" x14ac:dyDescent="0.3">
      <c r="A143" t="s">
        <v>315</v>
      </c>
      <c r="B143" t="s">
        <v>316</v>
      </c>
      <c r="C143" t="s">
        <v>22</v>
      </c>
      <c r="D143">
        <v>47</v>
      </c>
      <c r="E143" s="20" t="str">
        <f t="shared" si="2"/>
        <v>46-60</v>
      </c>
      <c r="F143" t="s">
        <v>18</v>
      </c>
      <c r="G143">
        <v>3</v>
      </c>
      <c r="H143">
        <v>121.98</v>
      </c>
      <c r="I143" t="s">
        <v>14</v>
      </c>
      <c r="J143" s="1">
        <v>44919</v>
      </c>
      <c r="K143" t="s">
        <v>84</v>
      </c>
    </row>
    <row r="144" spans="1:11" x14ac:dyDescent="0.3">
      <c r="A144" t="s">
        <v>317</v>
      </c>
      <c r="B144" t="s">
        <v>318</v>
      </c>
      <c r="C144" t="s">
        <v>12</v>
      </c>
      <c r="D144">
        <v>61</v>
      </c>
      <c r="E144" s="20" t="str">
        <f t="shared" si="2"/>
        <v>60+</v>
      </c>
      <c r="F144" t="s">
        <v>18</v>
      </c>
      <c r="G144">
        <v>4</v>
      </c>
      <c r="H144">
        <v>162.63999999999999</v>
      </c>
      <c r="I144" t="s">
        <v>14</v>
      </c>
      <c r="J144" s="1">
        <v>44391</v>
      </c>
      <c r="K144" t="s">
        <v>24</v>
      </c>
    </row>
    <row r="145" spans="1:11" x14ac:dyDescent="0.3">
      <c r="A145" t="s">
        <v>319</v>
      </c>
      <c r="B145" t="s">
        <v>320</v>
      </c>
      <c r="C145" t="s">
        <v>12</v>
      </c>
      <c r="D145">
        <v>26</v>
      </c>
      <c r="E145" s="20" t="str">
        <f t="shared" si="2"/>
        <v>26-35</v>
      </c>
      <c r="F145" t="s">
        <v>48</v>
      </c>
      <c r="G145">
        <v>5</v>
      </c>
      <c r="H145">
        <v>3000.85</v>
      </c>
      <c r="I145" t="s">
        <v>28</v>
      </c>
      <c r="J145" s="1">
        <v>44987</v>
      </c>
      <c r="K145" t="s">
        <v>60</v>
      </c>
    </row>
    <row r="146" spans="1:11" x14ac:dyDescent="0.3">
      <c r="A146" t="s">
        <v>321</v>
      </c>
      <c r="B146" t="s">
        <v>322</v>
      </c>
      <c r="C146" t="s">
        <v>22</v>
      </c>
      <c r="D146">
        <v>43</v>
      </c>
      <c r="E146" s="20" t="str">
        <f t="shared" si="2"/>
        <v>36-45</v>
      </c>
      <c r="F146" t="s">
        <v>18</v>
      </c>
      <c r="G146">
        <v>3</v>
      </c>
      <c r="H146">
        <v>121.98</v>
      </c>
      <c r="I146" t="s">
        <v>14</v>
      </c>
      <c r="J146" s="1">
        <v>44813</v>
      </c>
      <c r="K146" t="s">
        <v>84</v>
      </c>
    </row>
    <row r="147" spans="1:11" x14ac:dyDescent="0.3">
      <c r="A147" t="s">
        <v>323</v>
      </c>
      <c r="B147" t="s">
        <v>324</v>
      </c>
      <c r="C147" t="s">
        <v>22</v>
      </c>
      <c r="D147">
        <v>30</v>
      </c>
      <c r="E147" s="20" t="str">
        <f t="shared" si="2"/>
        <v>26-35</v>
      </c>
      <c r="F147" t="s">
        <v>56</v>
      </c>
      <c r="G147">
        <v>4</v>
      </c>
      <c r="H147">
        <v>46.92</v>
      </c>
      <c r="I147" t="s">
        <v>23</v>
      </c>
      <c r="J147" s="1">
        <v>44302</v>
      </c>
      <c r="K147" t="s">
        <v>84</v>
      </c>
    </row>
    <row r="148" spans="1:11" x14ac:dyDescent="0.3">
      <c r="A148" t="s">
        <v>325</v>
      </c>
      <c r="B148" t="s">
        <v>326</v>
      </c>
      <c r="C148" t="s">
        <v>22</v>
      </c>
      <c r="D148">
        <v>18</v>
      </c>
      <c r="E148" s="20" t="str">
        <f t="shared" si="2"/>
        <v>18-25</v>
      </c>
      <c r="F148" t="s">
        <v>13</v>
      </c>
      <c r="G148">
        <v>1</v>
      </c>
      <c r="H148">
        <v>300.08</v>
      </c>
      <c r="I148" t="s">
        <v>23</v>
      </c>
      <c r="J148" s="1">
        <v>44502</v>
      </c>
      <c r="K148" t="s">
        <v>84</v>
      </c>
    </row>
    <row r="149" spans="1:11" x14ac:dyDescent="0.3">
      <c r="A149" t="s">
        <v>327</v>
      </c>
      <c r="B149" t="s">
        <v>328</v>
      </c>
      <c r="C149" t="s">
        <v>22</v>
      </c>
      <c r="D149">
        <v>40</v>
      </c>
      <c r="E149" s="20" t="str">
        <f t="shared" si="2"/>
        <v>36-45</v>
      </c>
      <c r="F149" t="s">
        <v>59</v>
      </c>
      <c r="G149">
        <v>3</v>
      </c>
      <c r="H149">
        <v>107.52</v>
      </c>
      <c r="I149" t="s">
        <v>23</v>
      </c>
      <c r="J149" s="1">
        <v>44981</v>
      </c>
      <c r="K149" t="s">
        <v>84</v>
      </c>
    </row>
    <row r="150" spans="1:11" x14ac:dyDescent="0.3">
      <c r="A150" t="s">
        <v>329</v>
      </c>
      <c r="B150" t="s">
        <v>330</v>
      </c>
      <c r="C150" t="s">
        <v>22</v>
      </c>
      <c r="D150">
        <v>56</v>
      </c>
      <c r="E150" s="20" t="str">
        <f t="shared" si="2"/>
        <v>46-60</v>
      </c>
      <c r="F150" t="s">
        <v>56</v>
      </c>
      <c r="G150">
        <v>5</v>
      </c>
      <c r="H150">
        <v>58.65</v>
      </c>
      <c r="I150" t="s">
        <v>14</v>
      </c>
      <c r="J150" s="1">
        <v>44808</v>
      </c>
      <c r="K150" t="s">
        <v>60</v>
      </c>
    </row>
    <row r="151" spans="1:11" x14ac:dyDescent="0.3">
      <c r="A151" t="s">
        <v>331</v>
      </c>
      <c r="B151" t="s">
        <v>332</v>
      </c>
      <c r="C151" t="s">
        <v>22</v>
      </c>
      <c r="D151">
        <v>19</v>
      </c>
      <c r="E151" s="20" t="str">
        <f t="shared" si="2"/>
        <v>18-25</v>
      </c>
      <c r="F151" t="s">
        <v>59</v>
      </c>
      <c r="G151">
        <v>2</v>
      </c>
      <c r="H151">
        <v>71.680000000000007</v>
      </c>
      <c r="I151" t="s">
        <v>28</v>
      </c>
      <c r="J151" s="1">
        <v>44663</v>
      </c>
      <c r="K151" t="s">
        <v>34</v>
      </c>
    </row>
    <row r="152" spans="1:11" x14ac:dyDescent="0.3">
      <c r="A152" t="s">
        <v>333</v>
      </c>
      <c r="B152" t="s">
        <v>334</v>
      </c>
      <c r="C152" t="s">
        <v>22</v>
      </c>
      <c r="D152">
        <v>37</v>
      </c>
      <c r="E152" s="20" t="str">
        <f t="shared" si="2"/>
        <v>36-45</v>
      </c>
      <c r="F152" t="s">
        <v>13</v>
      </c>
      <c r="G152">
        <v>3</v>
      </c>
      <c r="H152">
        <v>900.24</v>
      </c>
      <c r="I152" t="s">
        <v>23</v>
      </c>
      <c r="J152" s="1">
        <v>44457</v>
      </c>
      <c r="K152" t="s">
        <v>34</v>
      </c>
    </row>
    <row r="153" spans="1:11" x14ac:dyDescent="0.3">
      <c r="A153" t="s">
        <v>335</v>
      </c>
      <c r="B153" t="s">
        <v>336</v>
      </c>
      <c r="C153" t="s">
        <v>22</v>
      </c>
      <c r="D153">
        <v>46</v>
      </c>
      <c r="E153" s="20" t="str">
        <f t="shared" si="2"/>
        <v>46-60</v>
      </c>
      <c r="F153" t="s">
        <v>56</v>
      </c>
      <c r="G153">
        <v>5</v>
      </c>
      <c r="H153">
        <v>58.65</v>
      </c>
      <c r="I153" t="s">
        <v>14</v>
      </c>
      <c r="J153" s="1">
        <v>44200</v>
      </c>
      <c r="K153" t="s">
        <v>60</v>
      </c>
    </row>
    <row r="154" spans="1:11" x14ac:dyDescent="0.3">
      <c r="A154" t="s">
        <v>337</v>
      </c>
      <c r="B154" t="s">
        <v>338</v>
      </c>
      <c r="C154" t="s">
        <v>12</v>
      </c>
      <c r="D154">
        <v>44</v>
      </c>
      <c r="E154" s="20" t="str">
        <f t="shared" si="2"/>
        <v>36-45</v>
      </c>
      <c r="F154" t="s">
        <v>13</v>
      </c>
      <c r="G154">
        <v>2</v>
      </c>
      <c r="H154">
        <v>600.16</v>
      </c>
      <c r="I154" t="s">
        <v>23</v>
      </c>
      <c r="J154" s="1">
        <v>44317</v>
      </c>
      <c r="K154" t="s">
        <v>24</v>
      </c>
    </row>
    <row r="155" spans="1:11" x14ac:dyDescent="0.3">
      <c r="A155" t="s">
        <v>339</v>
      </c>
      <c r="B155" t="s">
        <v>340</v>
      </c>
      <c r="C155" t="s">
        <v>22</v>
      </c>
      <c r="D155">
        <v>57</v>
      </c>
      <c r="E155" s="20" t="str">
        <f t="shared" si="2"/>
        <v>46-60</v>
      </c>
      <c r="F155" t="s">
        <v>13</v>
      </c>
      <c r="G155">
        <v>1</v>
      </c>
      <c r="H155">
        <v>300.08</v>
      </c>
      <c r="I155" t="s">
        <v>14</v>
      </c>
      <c r="J155" s="1">
        <v>44575</v>
      </c>
      <c r="K155" t="s">
        <v>24</v>
      </c>
    </row>
    <row r="156" spans="1:11" x14ac:dyDescent="0.3">
      <c r="A156" t="s">
        <v>341</v>
      </c>
      <c r="B156" t="s">
        <v>342</v>
      </c>
      <c r="C156" t="s">
        <v>12</v>
      </c>
      <c r="D156">
        <v>30</v>
      </c>
      <c r="E156" s="20" t="str">
        <f t="shared" si="2"/>
        <v>26-35</v>
      </c>
      <c r="F156" t="s">
        <v>13</v>
      </c>
      <c r="G156">
        <v>4</v>
      </c>
      <c r="H156">
        <v>1200.32</v>
      </c>
      <c r="I156" t="s">
        <v>23</v>
      </c>
      <c r="J156" s="1">
        <v>44469</v>
      </c>
      <c r="K156" t="s">
        <v>53</v>
      </c>
    </row>
    <row r="157" spans="1:11" x14ac:dyDescent="0.3">
      <c r="A157" t="s">
        <v>343</v>
      </c>
      <c r="B157" t="s">
        <v>344</v>
      </c>
      <c r="C157" t="s">
        <v>22</v>
      </c>
      <c r="D157">
        <v>32</v>
      </c>
      <c r="E157" s="20" t="str">
        <f t="shared" si="2"/>
        <v>26-35</v>
      </c>
      <c r="F157" t="s">
        <v>48</v>
      </c>
      <c r="G157">
        <v>1</v>
      </c>
      <c r="H157">
        <v>600.16999999999996</v>
      </c>
      <c r="I157" t="s">
        <v>28</v>
      </c>
      <c r="J157" s="1">
        <v>44508</v>
      </c>
      <c r="K157" t="s">
        <v>84</v>
      </c>
    </row>
    <row r="158" spans="1:11" x14ac:dyDescent="0.3">
      <c r="A158" t="s">
        <v>345</v>
      </c>
      <c r="B158" t="s">
        <v>346</v>
      </c>
      <c r="C158" t="s">
        <v>12</v>
      </c>
      <c r="D158">
        <v>43</v>
      </c>
      <c r="E158" s="20" t="str">
        <f t="shared" si="2"/>
        <v>36-45</v>
      </c>
      <c r="F158" t="s">
        <v>18</v>
      </c>
      <c r="G158">
        <v>1</v>
      </c>
      <c r="H158">
        <v>40.659999999999997</v>
      </c>
      <c r="I158" t="s">
        <v>14</v>
      </c>
      <c r="J158" s="1">
        <v>44440</v>
      </c>
      <c r="K158" t="s">
        <v>24</v>
      </c>
    </row>
    <row r="159" spans="1:11" x14ac:dyDescent="0.3">
      <c r="A159" t="s">
        <v>347</v>
      </c>
      <c r="B159" t="s">
        <v>348</v>
      </c>
      <c r="C159" t="s">
        <v>22</v>
      </c>
      <c r="D159">
        <v>51</v>
      </c>
      <c r="E159" s="20" t="str">
        <f t="shared" si="2"/>
        <v>46-60</v>
      </c>
      <c r="F159" t="s">
        <v>27</v>
      </c>
      <c r="G159">
        <v>5</v>
      </c>
      <c r="H159">
        <v>75.75</v>
      </c>
      <c r="I159" t="s">
        <v>23</v>
      </c>
      <c r="J159" s="1">
        <v>44197</v>
      </c>
      <c r="K159" t="s">
        <v>24</v>
      </c>
    </row>
    <row r="160" spans="1:11" x14ac:dyDescent="0.3">
      <c r="A160" t="s">
        <v>349</v>
      </c>
      <c r="B160" t="s">
        <v>350</v>
      </c>
      <c r="C160" t="s">
        <v>12</v>
      </c>
      <c r="D160">
        <v>50</v>
      </c>
      <c r="E160" s="20" t="str">
        <f t="shared" si="2"/>
        <v>46-60</v>
      </c>
      <c r="F160" t="s">
        <v>13</v>
      </c>
      <c r="G160">
        <v>1</v>
      </c>
      <c r="H160">
        <v>300.08</v>
      </c>
      <c r="I160" t="s">
        <v>23</v>
      </c>
      <c r="J160" s="1">
        <v>44222</v>
      </c>
      <c r="K160" t="s">
        <v>24</v>
      </c>
    </row>
    <row r="161" spans="1:11" x14ac:dyDescent="0.3">
      <c r="A161" t="s">
        <v>351</v>
      </c>
      <c r="B161" t="s">
        <v>352</v>
      </c>
      <c r="C161" t="s">
        <v>22</v>
      </c>
      <c r="D161">
        <v>22</v>
      </c>
      <c r="E161" s="20" t="str">
        <f t="shared" si="2"/>
        <v>18-25</v>
      </c>
      <c r="F161" t="s">
        <v>18</v>
      </c>
      <c r="G161">
        <v>4</v>
      </c>
      <c r="H161">
        <v>162.63999999999999</v>
      </c>
      <c r="I161" t="s">
        <v>14</v>
      </c>
      <c r="J161" s="1">
        <v>44246</v>
      </c>
      <c r="K161" t="s">
        <v>43</v>
      </c>
    </row>
    <row r="162" spans="1:11" x14ac:dyDescent="0.3">
      <c r="A162" t="s">
        <v>353</v>
      </c>
      <c r="B162" t="s">
        <v>354</v>
      </c>
      <c r="C162" t="s">
        <v>12</v>
      </c>
      <c r="D162">
        <v>57</v>
      </c>
      <c r="E162" s="20" t="str">
        <f t="shared" si="2"/>
        <v>46-60</v>
      </c>
      <c r="F162" t="s">
        <v>48</v>
      </c>
      <c r="G162">
        <v>4</v>
      </c>
      <c r="H162">
        <v>2400.6799999999998</v>
      </c>
      <c r="I162" t="s">
        <v>28</v>
      </c>
      <c r="J162" s="1">
        <v>44284</v>
      </c>
      <c r="K162" t="s">
        <v>43</v>
      </c>
    </row>
    <row r="163" spans="1:11" x14ac:dyDescent="0.3">
      <c r="A163" t="s">
        <v>355</v>
      </c>
      <c r="B163" t="s">
        <v>356</v>
      </c>
      <c r="C163" t="s">
        <v>12</v>
      </c>
      <c r="D163">
        <v>56</v>
      </c>
      <c r="E163" s="20" t="str">
        <f t="shared" si="2"/>
        <v>46-60</v>
      </c>
      <c r="F163" t="s">
        <v>59</v>
      </c>
      <c r="G163">
        <v>3</v>
      </c>
      <c r="H163">
        <v>107.52</v>
      </c>
      <c r="I163" t="s">
        <v>23</v>
      </c>
      <c r="J163" s="1">
        <v>44549</v>
      </c>
      <c r="K163" t="s">
        <v>34</v>
      </c>
    </row>
    <row r="164" spans="1:11" x14ac:dyDescent="0.3">
      <c r="A164" t="s">
        <v>357</v>
      </c>
      <c r="B164" t="s">
        <v>358</v>
      </c>
      <c r="C164" t="s">
        <v>22</v>
      </c>
      <c r="D164">
        <v>51</v>
      </c>
      <c r="E164" s="20" t="str">
        <f t="shared" si="2"/>
        <v>46-60</v>
      </c>
      <c r="F164" t="s">
        <v>13</v>
      </c>
      <c r="G164">
        <v>2</v>
      </c>
      <c r="H164">
        <v>600.16</v>
      </c>
      <c r="I164" t="s">
        <v>14</v>
      </c>
      <c r="J164" s="1">
        <v>44526</v>
      </c>
      <c r="K164" t="s">
        <v>34</v>
      </c>
    </row>
    <row r="165" spans="1:11" x14ac:dyDescent="0.3">
      <c r="A165" t="s">
        <v>359</v>
      </c>
      <c r="B165" t="s">
        <v>360</v>
      </c>
      <c r="C165" t="s">
        <v>22</v>
      </c>
      <c r="D165">
        <v>63</v>
      </c>
      <c r="E165" s="20" t="str">
        <f t="shared" si="2"/>
        <v>60+</v>
      </c>
      <c r="F165" t="s">
        <v>31</v>
      </c>
      <c r="G165">
        <v>5</v>
      </c>
      <c r="H165">
        <v>5250</v>
      </c>
      <c r="I165" t="s">
        <v>14</v>
      </c>
      <c r="J165" s="1">
        <v>44960</v>
      </c>
      <c r="K165" t="s">
        <v>73</v>
      </c>
    </row>
    <row r="166" spans="1:11" x14ac:dyDescent="0.3">
      <c r="A166" t="s">
        <v>361</v>
      </c>
      <c r="B166" t="s">
        <v>362</v>
      </c>
      <c r="C166" t="s">
        <v>12</v>
      </c>
      <c r="D166">
        <v>45</v>
      </c>
      <c r="E166" s="20" t="str">
        <f t="shared" si="2"/>
        <v>36-45</v>
      </c>
      <c r="F166" t="s">
        <v>13</v>
      </c>
      <c r="G166">
        <v>5</v>
      </c>
      <c r="H166">
        <v>1500.4</v>
      </c>
      <c r="I166" t="s">
        <v>14</v>
      </c>
      <c r="J166" s="1">
        <v>44325</v>
      </c>
      <c r="K166" t="s">
        <v>73</v>
      </c>
    </row>
    <row r="167" spans="1:11" x14ac:dyDescent="0.3">
      <c r="A167" t="s">
        <v>363</v>
      </c>
      <c r="B167" t="s">
        <v>364</v>
      </c>
      <c r="C167" t="s">
        <v>22</v>
      </c>
      <c r="D167">
        <v>18</v>
      </c>
      <c r="E167" s="20" t="str">
        <f t="shared" si="2"/>
        <v>18-25</v>
      </c>
      <c r="F167" t="s">
        <v>31</v>
      </c>
      <c r="G167">
        <v>1</v>
      </c>
      <c r="H167">
        <v>1050</v>
      </c>
      <c r="I167" t="s">
        <v>23</v>
      </c>
      <c r="J167" s="1">
        <v>44439</v>
      </c>
      <c r="K167" t="s">
        <v>34</v>
      </c>
    </row>
    <row r="168" spans="1:11" x14ac:dyDescent="0.3">
      <c r="A168" t="s">
        <v>365</v>
      </c>
      <c r="B168" t="s">
        <v>366</v>
      </c>
      <c r="C168" t="s">
        <v>12</v>
      </c>
      <c r="D168">
        <v>28</v>
      </c>
      <c r="E168" s="20" t="str">
        <f t="shared" si="2"/>
        <v>26-35</v>
      </c>
      <c r="F168" t="s">
        <v>59</v>
      </c>
      <c r="G168">
        <v>1</v>
      </c>
      <c r="H168">
        <v>35.840000000000003</v>
      </c>
      <c r="I168" t="s">
        <v>28</v>
      </c>
      <c r="J168" s="1">
        <v>44479</v>
      </c>
      <c r="K168" t="s">
        <v>24</v>
      </c>
    </row>
    <row r="169" spans="1:11" x14ac:dyDescent="0.3">
      <c r="A169" t="s">
        <v>367</v>
      </c>
      <c r="B169" t="s">
        <v>368</v>
      </c>
      <c r="C169" t="s">
        <v>22</v>
      </c>
      <c r="D169">
        <v>59</v>
      </c>
      <c r="E169" s="20" t="str">
        <f t="shared" si="2"/>
        <v>46-60</v>
      </c>
      <c r="F169" t="s">
        <v>48</v>
      </c>
      <c r="G169">
        <v>2</v>
      </c>
      <c r="H169">
        <v>1200.3399999999999</v>
      </c>
      <c r="I169" t="s">
        <v>14</v>
      </c>
      <c r="J169" s="1">
        <v>44286</v>
      </c>
      <c r="K169" t="s">
        <v>24</v>
      </c>
    </row>
    <row r="170" spans="1:11" x14ac:dyDescent="0.3">
      <c r="A170" t="s">
        <v>369</v>
      </c>
      <c r="B170" t="s">
        <v>370</v>
      </c>
      <c r="C170" t="s">
        <v>22</v>
      </c>
      <c r="D170">
        <v>20</v>
      </c>
      <c r="E170" s="20" t="str">
        <f t="shared" si="2"/>
        <v>18-25</v>
      </c>
      <c r="F170" t="s">
        <v>13</v>
      </c>
      <c r="G170">
        <v>3</v>
      </c>
      <c r="H170">
        <v>900.24</v>
      </c>
      <c r="I170" t="s">
        <v>23</v>
      </c>
      <c r="J170" s="1">
        <v>44279</v>
      </c>
      <c r="K170" t="s">
        <v>19</v>
      </c>
    </row>
    <row r="171" spans="1:11" x14ac:dyDescent="0.3">
      <c r="A171" t="s">
        <v>371</v>
      </c>
      <c r="B171" t="s">
        <v>372</v>
      </c>
      <c r="C171" t="s">
        <v>12</v>
      </c>
      <c r="D171">
        <v>36</v>
      </c>
      <c r="E171" s="20" t="str">
        <f t="shared" si="2"/>
        <v>36-45</v>
      </c>
      <c r="F171" t="s">
        <v>37</v>
      </c>
      <c r="G171">
        <v>3</v>
      </c>
      <c r="H171">
        <v>15.69</v>
      </c>
      <c r="I171" t="s">
        <v>23</v>
      </c>
      <c r="J171" s="1">
        <v>44664</v>
      </c>
      <c r="K171" t="s">
        <v>43</v>
      </c>
    </row>
    <row r="172" spans="1:11" x14ac:dyDescent="0.3">
      <c r="A172" t="s">
        <v>373</v>
      </c>
      <c r="B172" t="s">
        <v>374</v>
      </c>
      <c r="C172" t="s">
        <v>12</v>
      </c>
      <c r="D172">
        <v>49</v>
      </c>
      <c r="E172" s="20" t="str">
        <f t="shared" si="2"/>
        <v>46-60</v>
      </c>
      <c r="F172" t="s">
        <v>13</v>
      </c>
      <c r="G172">
        <v>4</v>
      </c>
      <c r="H172">
        <v>1200.32</v>
      </c>
      <c r="I172" t="s">
        <v>28</v>
      </c>
      <c r="J172" s="1">
        <v>44221</v>
      </c>
      <c r="K172" t="s">
        <v>43</v>
      </c>
    </row>
    <row r="173" spans="1:11" x14ac:dyDescent="0.3">
      <c r="A173" t="s">
        <v>375</v>
      </c>
      <c r="B173" t="s">
        <v>376</v>
      </c>
      <c r="C173" t="s">
        <v>12</v>
      </c>
      <c r="D173">
        <v>26</v>
      </c>
      <c r="E173" s="20" t="str">
        <f t="shared" si="2"/>
        <v>26-35</v>
      </c>
      <c r="F173" t="s">
        <v>13</v>
      </c>
      <c r="G173">
        <v>5</v>
      </c>
      <c r="H173">
        <v>1500.4</v>
      </c>
      <c r="I173" t="s">
        <v>14</v>
      </c>
      <c r="J173" s="1">
        <v>44506</v>
      </c>
      <c r="K173" t="s">
        <v>43</v>
      </c>
    </row>
    <row r="174" spans="1:11" x14ac:dyDescent="0.3">
      <c r="A174" t="s">
        <v>377</v>
      </c>
      <c r="B174" t="s">
        <v>378</v>
      </c>
      <c r="C174" t="s">
        <v>12</v>
      </c>
      <c r="D174">
        <v>35</v>
      </c>
      <c r="E174" s="20" t="str">
        <f t="shared" si="2"/>
        <v>26-35</v>
      </c>
      <c r="F174" t="s">
        <v>18</v>
      </c>
      <c r="G174">
        <v>3</v>
      </c>
      <c r="H174">
        <v>121.98</v>
      </c>
      <c r="I174" t="s">
        <v>23</v>
      </c>
      <c r="J174" s="1">
        <v>44790</v>
      </c>
      <c r="K174" t="s">
        <v>24</v>
      </c>
    </row>
    <row r="175" spans="1:11" x14ac:dyDescent="0.3">
      <c r="A175" t="s">
        <v>379</v>
      </c>
      <c r="B175" t="s">
        <v>380</v>
      </c>
      <c r="C175" t="s">
        <v>12</v>
      </c>
      <c r="D175">
        <v>54</v>
      </c>
      <c r="E175" s="20" t="str">
        <f t="shared" si="2"/>
        <v>46-60</v>
      </c>
      <c r="F175" t="s">
        <v>13</v>
      </c>
      <c r="G175">
        <v>1</v>
      </c>
      <c r="H175">
        <v>300.08</v>
      </c>
      <c r="I175" t="s">
        <v>14</v>
      </c>
      <c r="J175" s="1">
        <v>44738</v>
      </c>
      <c r="K175" t="s">
        <v>34</v>
      </c>
    </row>
    <row r="176" spans="1:11" x14ac:dyDescent="0.3">
      <c r="A176" t="s">
        <v>381</v>
      </c>
      <c r="B176" t="s">
        <v>382</v>
      </c>
      <c r="C176" t="s">
        <v>22</v>
      </c>
      <c r="D176">
        <v>62</v>
      </c>
      <c r="E176" s="20" t="str">
        <f t="shared" si="2"/>
        <v>60+</v>
      </c>
      <c r="F176" t="s">
        <v>56</v>
      </c>
      <c r="G176">
        <v>3</v>
      </c>
      <c r="H176">
        <v>35.19</v>
      </c>
      <c r="I176" t="s">
        <v>23</v>
      </c>
      <c r="J176" s="1">
        <v>44656</v>
      </c>
      <c r="K176" t="s">
        <v>43</v>
      </c>
    </row>
    <row r="177" spans="1:11" x14ac:dyDescent="0.3">
      <c r="A177" t="s">
        <v>383</v>
      </c>
      <c r="B177" t="s">
        <v>384</v>
      </c>
      <c r="C177" t="s">
        <v>22</v>
      </c>
      <c r="D177">
        <v>65</v>
      </c>
      <c r="E177" s="20" t="str">
        <f t="shared" si="2"/>
        <v>60+</v>
      </c>
      <c r="F177" t="s">
        <v>13</v>
      </c>
      <c r="G177">
        <v>3</v>
      </c>
      <c r="H177">
        <v>900.24</v>
      </c>
      <c r="I177" t="s">
        <v>14</v>
      </c>
      <c r="J177" s="1">
        <v>44580</v>
      </c>
      <c r="K177" t="s">
        <v>84</v>
      </c>
    </row>
    <row r="178" spans="1:11" x14ac:dyDescent="0.3">
      <c r="A178" t="s">
        <v>385</v>
      </c>
      <c r="B178" t="s">
        <v>386</v>
      </c>
      <c r="C178" t="s">
        <v>22</v>
      </c>
      <c r="D178">
        <v>35</v>
      </c>
      <c r="E178" s="20" t="str">
        <f t="shared" si="2"/>
        <v>26-35</v>
      </c>
      <c r="F178" t="s">
        <v>13</v>
      </c>
      <c r="G178">
        <v>2</v>
      </c>
      <c r="H178">
        <v>600.16</v>
      </c>
      <c r="I178" t="s">
        <v>28</v>
      </c>
      <c r="J178" s="1">
        <v>44726</v>
      </c>
      <c r="K178" t="s">
        <v>34</v>
      </c>
    </row>
    <row r="179" spans="1:11" x14ac:dyDescent="0.3">
      <c r="A179" t="s">
        <v>387</v>
      </c>
      <c r="B179" t="s">
        <v>388</v>
      </c>
      <c r="C179" t="s">
        <v>22</v>
      </c>
      <c r="D179">
        <v>65</v>
      </c>
      <c r="E179" s="20" t="str">
        <f t="shared" si="2"/>
        <v>60+</v>
      </c>
      <c r="F179" t="s">
        <v>56</v>
      </c>
      <c r="G179">
        <v>2</v>
      </c>
      <c r="H179">
        <v>23.46</v>
      </c>
      <c r="I179" t="s">
        <v>14</v>
      </c>
      <c r="J179" s="1">
        <v>44326</v>
      </c>
      <c r="K179" t="s">
        <v>84</v>
      </c>
    </row>
    <row r="180" spans="1:11" x14ac:dyDescent="0.3">
      <c r="A180" t="s">
        <v>389</v>
      </c>
      <c r="B180" t="s">
        <v>390</v>
      </c>
      <c r="C180" t="s">
        <v>12</v>
      </c>
      <c r="D180">
        <v>23</v>
      </c>
      <c r="E180" s="20" t="str">
        <f t="shared" si="2"/>
        <v>18-25</v>
      </c>
      <c r="F180" t="s">
        <v>56</v>
      </c>
      <c r="G180">
        <v>3</v>
      </c>
      <c r="H180">
        <v>35.19</v>
      </c>
      <c r="I180" t="s">
        <v>28</v>
      </c>
      <c r="J180" s="1">
        <v>44352</v>
      </c>
      <c r="K180" t="s">
        <v>84</v>
      </c>
    </row>
    <row r="181" spans="1:11" x14ac:dyDescent="0.3">
      <c r="A181" t="s">
        <v>391</v>
      </c>
      <c r="B181" t="s">
        <v>392</v>
      </c>
      <c r="C181" t="s">
        <v>22</v>
      </c>
      <c r="D181">
        <v>52</v>
      </c>
      <c r="E181" s="20" t="str">
        <f t="shared" si="2"/>
        <v>46-60</v>
      </c>
      <c r="F181" t="s">
        <v>37</v>
      </c>
      <c r="G181">
        <v>2</v>
      </c>
      <c r="H181">
        <v>10.46</v>
      </c>
      <c r="I181" t="s">
        <v>14</v>
      </c>
      <c r="J181" s="1">
        <v>44625</v>
      </c>
      <c r="K181" t="s">
        <v>24</v>
      </c>
    </row>
    <row r="182" spans="1:11" x14ac:dyDescent="0.3">
      <c r="A182" t="s">
        <v>393</v>
      </c>
      <c r="B182" t="s">
        <v>394</v>
      </c>
      <c r="C182" t="s">
        <v>12</v>
      </c>
      <c r="D182">
        <v>49</v>
      </c>
      <c r="E182" s="20" t="str">
        <f t="shared" si="2"/>
        <v>46-60</v>
      </c>
      <c r="F182" t="s">
        <v>37</v>
      </c>
      <c r="G182">
        <v>1</v>
      </c>
      <c r="H182">
        <v>5.23</v>
      </c>
      <c r="I182" t="s">
        <v>28</v>
      </c>
      <c r="J182" s="1">
        <v>44415</v>
      </c>
      <c r="K182" t="s">
        <v>24</v>
      </c>
    </row>
    <row r="183" spans="1:11" x14ac:dyDescent="0.3">
      <c r="A183" t="s">
        <v>395</v>
      </c>
      <c r="B183" t="s">
        <v>396</v>
      </c>
      <c r="C183" t="s">
        <v>22</v>
      </c>
      <c r="D183">
        <v>38</v>
      </c>
      <c r="E183" s="20" t="str">
        <f t="shared" si="2"/>
        <v>36-45</v>
      </c>
      <c r="F183" t="s">
        <v>56</v>
      </c>
      <c r="G183">
        <v>5</v>
      </c>
      <c r="H183">
        <v>58.65</v>
      </c>
      <c r="I183" t="s">
        <v>14</v>
      </c>
      <c r="J183" s="1">
        <v>44887</v>
      </c>
      <c r="K183" t="s">
        <v>73</v>
      </c>
    </row>
    <row r="184" spans="1:11" x14ac:dyDescent="0.3">
      <c r="A184" t="s">
        <v>397</v>
      </c>
      <c r="B184" t="s">
        <v>398</v>
      </c>
      <c r="C184" t="s">
        <v>22</v>
      </c>
      <c r="D184">
        <v>30</v>
      </c>
      <c r="E184" s="20" t="str">
        <f t="shared" si="2"/>
        <v>26-35</v>
      </c>
      <c r="F184" t="s">
        <v>37</v>
      </c>
      <c r="G184">
        <v>3</v>
      </c>
      <c r="H184">
        <v>15.69</v>
      </c>
      <c r="I184" t="s">
        <v>28</v>
      </c>
      <c r="J184" s="1">
        <v>44509</v>
      </c>
      <c r="K184" t="s">
        <v>60</v>
      </c>
    </row>
    <row r="185" spans="1:11" x14ac:dyDescent="0.3">
      <c r="A185" t="s">
        <v>399</v>
      </c>
      <c r="B185" t="s">
        <v>400</v>
      </c>
      <c r="C185" t="s">
        <v>22</v>
      </c>
      <c r="D185">
        <v>44</v>
      </c>
      <c r="E185" s="20" t="str">
        <f t="shared" si="2"/>
        <v>36-45</v>
      </c>
      <c r="F185" t="s">
        <v>13</v>
      </c>
      <c r="G185">
        <v>3</v>
      </c>
      <c r="H185">
        <v>900.24</v>
      </c>
      <c r="I185" t="s">
        <v>14</v>
      </c>
      <c r="J185" s="1">
        <v>44814</v>
      </c>
      <c r="K185" t="s">
        <v>43</v>
      </c>
    </row>
    <row r="186" spans="1:11" x14ac:dyDescent="0.3">
      <c r="A186" t="s">
        <v>401</v>
      </c>
      <c r="B186" t="s">
        <v>402</v>
      </c>
      <c r="C186" t="s">
        <v>12</v>
      </c>
      <c r="D186">
        <v>27</v>
      </c>
      <c r="E186" s="20" t="str">
        <f t="shared" si="2"/>
        <v>26-35</v>
      </c>
      <c r="F186" t="s">
        <v>18</v>
      </c>
      <c r="G186">
        <v>3</v>
      </c>
      <c r="H186">
        <v>121.98</v>
      </c>
      <c r="I186" t="s">
        <v>28</v>
      </c>
      <c r="J186" s="1">
        <v>44341</v>
      </c>
      <c r="K186" t="s">
        <v>84</v>
      </c>
    </row>
    <row r="187" spans="1:11" x14ac:dyDescent="0.3">
      <c r="A187" t="s">
        <v>403</v>
      </c>
      <c r="B187" t="s">
        <v>404</v>
      </c>
      <c r="C187" t="s">
        <v>22</v>
      </c>
      <c r="D187">
        <v>26</v>
      </c>
      <c r="E187" s="20" t="str">
        <f t="shared" si="2"/>
        <v>26-35</v>
      </c>
      <c r="F187" t="s">
        <v>13</v>
      </c>
      <c r="G187">
        <v>4</v>
      </c>
      <c r="H187">
        <v>1200.32</v>
      </c>
      <c r="I187" t="s">
        <v>23</v>
      </c>
      <c r="J187" s="1">
        <v>44437</v>
      </c>
      <c r="K187" t="s">
        <v>73</v>
      </c>
    </row>
    <row r="188" spans="1:11" x14ac:dyDescent="0.3">
      <c r="A188" t="s">
        <v>405</v>
      </c>
      <c r="B188" t="s">
        <v>406</v>
      </c>
      <c r="C188" t="s">
        <v>12</v>
      </c>
      <c r="D188">
        <v>42</v>
      </c>
      <c r="E188" s="20" t="str">
        <f t="shared" si="2"/>
        <v>36-45</v>
      </c>
      <c r="F188" t="s">
        <v>13</v>
      </c>
      <c r="G188">
        <v>5</v>
      </c>
      <c r="H188">
        <v>1500.4</v>
      </c>
      <c r="I188" t="s">
        <v>14</v>
      </c>
      <c r="J188" s="1">
        <v>44821</v>
      </c>
      <c r="K188" t="s">
        <v>60</v>
      </c>
    </row>
    <row r="189" spans="1:11" x14ac:dyDescent="0.3">
      <c r="A189" t="s">
        <v>407</v>
      </c>
      <c r="B189" t="s">
        <v>408</v>
      </c>
      <c r="C189" t="s">
        <v>12</v>
      </c>
      <c r="D189">
        <v>21</v>
      </c>
      <c r="E189" s="20" t="str">
        <f t="shared" si="2"/>
        <v>18-25</v>
      </c>
      <c r="F189" t="s">
        <v>13</v>
      </c>
      <c r="G189">
        <v>2</v>
      </c>
      <c r="H189">
        <v>600.16</v>
      </c>
      <c r="I189" t="s">
        <v>14</v>
      </c>
      <c r="J189" s="1">
        <v>44844</v>
      </c>
      <c r="K189" t="s">
        <v>34</v>
      </c>
    </row>
    <row r="190" spans="1:11" x14ac:dyDescent="0.3">
      <c r="A190" t="s">
        <v>409</v>
      </c>
      <c r="B190" t="s">
        <v>410</v>
      </c>
      <c r="C190" t="s">
        <v>12</v>
      </c>
      <c r="D190">
        <v>18</v>
      </c>
      <c r="E190" s="20" t="str">
        <f t="shared" si="2"/>
        <v>18-25</v>
      </c>
      <c r="F190" t="s">
        <v>59</v>
      </c>
      <c r="G190">
        <v>5</v>
      </c>
      <c r="H190">
        <v>179.2</v>
      </c>
      <c r="I190" t="s">
        <v>28</v>
      </c>
      <c r="J190" s="1">
        <v>44199</v>
      </c>
      <c r="K190" t="s">
        <v>24</v>
      </c>
    </row>
    <row r="191" spans="1:11" x14ac:dyDescent="0.3">
      <c r="A191" t="s">
        <v>411</v>
      </c>
      <c r="B191" t="s">
        <v>412</v>
      </c>
      <c r="C191" t="s">
        <v>12</v>
      </c>
      <c r="D191">
        <v>66</v>
      </c>
      <c r="E191" s="20" t="str">
        <f t="shared" si="2"/>
        <v>60+</v>
      </c>
      <c r="F191" t="s">
        <v>13</v>
      </c>
      <c r="G191">
        <v>1</v>
      </c>
      <c r="H191">
        <v>300.08</v>
      </c>
      <c r="I191" t="s">
        <v>23</v>
      </c>
      <c r="J191" s="1">
        <v>44933</v>
      </c>
      <c r="K191" t="s">
        <v>40</v>
      </c>
    </row>
    <row r="192" spans="1:11" x14ac:dyDescent="0.3">
      <c r="A192" t="s">
        <v>413</v>
      </c>
      <c r="B192" t="s">
        <v>414</v>
      </c>
      <c r="C192" t="s">
        <v>22</v>
      </c>
      <c r="D192">
        <v>67</v>
      </c>
      <c r="E192" s="20" t="str">
        <f t="shared" si="2"/>
        <v>60+</v>
      </c>
      <c r="F192" t="s">
        <v>13</v>
      </c>
      <c r="G192">
        <v>1</v>
      </c>
      <c r="H192">
        <v>300.08</v>
      </c>
      <c r="I192" t="s">
        <v>14</v>
      </c>
      <c r="J192" s="1">
        <v>44407</v>
      </c>
      <c r="K192" t="s">
        <v>84</v>
      </c>
    </row>
    <row r="193" spans="1:11" x14ac:dyDescent="0.3">
      <c r="A193" t="s">
        <v>415</v>
      </c>
      <c r="B193" t="s">
        <v>416</v>
      </c>
      <c r="C193" t="s">
        <v>22</v>
      </c>
      <c r="D193">
        <v>67</v>
      </c>
      <c r="E193" s="20" t="str">
        <f t="shared" si="2"/>
        <v>60+</v>
      </c>
      <c r="F193" t="s">
        <v>48</v>
      </c>
      <c r="G193">
        <v>4</v>
      </c>
      <c r="H193">
        <v>2400.6799999999998</v>
      </c>
      <c r="I193" t="s">
        <v>14</v>
      </c>
      <c r="J193" s="1">
        <v>44985</v>
      </c>
      <c r="K193" t="s">
        <v>40</v>
      </c>
    </row>
    <row r="194" spans="1:11" x14ac:dyDescent="0.3">
      <c r="A194" t="s">
        <v>417</v>
      </c>
      <c r="B194" t="s">
        <v>418</v>
      </c>
      <c r="C194" t="s">
        <v>22</v>
      </c>
      <c r="D194">
        <v>36</v>
      </c>
      <c r="E194" s="20" t="str">
        <f t="shared" si="2"/>
        <v>36-45</v>
      </c>
      <c r="F194" t="s">
        <v>37</v>
      </c>
      <c r="G194">
        <v>3</v>
      </c>
      <c r="H194">
        <v>15.69</v>
      </c>
      <c r="I194" t="s">
        <v>28</v>
      </c>
      <c r="J194" s="1">
        <v>44828</v>
      </c>
      <c r="K194" t="s">
        <v>43</v>
      </c>
    </row>
    <row r="195" spans="1:11" x14ac:dyDescent="0.3">
      <c r="A195" t="s">
        <v>419</v>
      </c>
      <c r="B195" t="s">
        <v>420</v>
      </c>
      <c r="C195" t="s">
        <v>22</v>
      </c>
      <c r="D195">
        <v>68</v>
      </c>
      <c r="E195" s="20" t="str">
        <f t="shared" ref="E195:E258" si="3">IF(D195&lt;18,"Below 18",IF(D195&lt;=25,"18-25",IF(D195&lt;=35,"26-35",IF(D195&lt;=45,"36-45",IF(D195&lt;=60,"46-60","60+")))))</f>
        <v>60+</v>
      </c>
      <c r="F195" t="s">
        <v>59</v>
      </c>
      <c r="G195">
        <v>3</v>
      </c>
      <c r="H195">
        <v>107.52</v>
      </c>
      <c r="I195" t="s">
        <v>14</v>
      </c>
      <c r="J195" s="1">
        <v>44818</v>
      </c>
      <c r="K195" t="s">
        <v>73</v>
      </c>
    </row>
    <row r="196" spans="1:11" x14ac:dyDescent="0.3">
      <c r="A196" t="s">
        <v>421</v>
      </c>
      <c r="B196" t="s">
        <v>422</v>
      </c>
      <c r="C196" t="s">
        <v>22</v>
      </c>
      <c r="D196">
        <v>66</v>
      </c>
      <c r="E196" s="20" t="str">
        <f t="shared" si="3"/>
        <v>60+</v>
      </c>
      <c r="F196" t="s">
        <v>13</v>
      </c>
      <c r="G196">
        <v>2</v>
      </c>
      <c r="H196">
        <v>600.16</v>
      </c>
      <c r="I196" t="s">
        <v>14</v>
      </c>
      <c r="J196" s="1">
        <v>44502</v>
      </c>
      <c r="K196" t="s">
        <v>84</v>
      </c>
    </row>
    <row r="197" spans="1:11" x14ac:dyDescent="0.3">
      <c r="A197" t="s">
        <v>423</v>
      </c>
      <c r="B197" t="s">
        <v>424</v>
      </c>
      <c r="C197" t="s">
        <v>22</v>
      </c>
      <c r="D197">
        <v>62</v>
      </c>
      <c r="E197" s="20" t="str">
        <f t="shared" si="3"/>
        <v>60+</v>
      </c>
      <c r="F197" t="s">
        <v>13</v>
      </c>
      <c r="G197">
        <v>2</v>
      </c>
      <c r="H197">
        <v>600.16</v>
      </c>
      <c r="I197" t="s">
        <v>28</v>
      </c>
      <c r="J197" s="1">
        <v>44638</v>
      </c>
      <c r="K197" t="s">
        <v>84</v>
      </c>
    </row>
    <row r="198" spans="1:11" x14ac:dyDescent="0.3">
      <c r="A198" t="s">
        <v>425</v>
      </c>
      <c r="B198" t="s">
        <v>426</v>
      </c>
      <c r="C198" t="s">
        <v>12</v>
      </c>
      <c r="D198">
        <v>23</v>
      </c>
      <c r="E198" s="20" t="str">
        <f t="shared" si="3"/>
        <v>18-25</v>
      </c>
      <c r="F198" t="s">
        <v>59</v>
      </c>
      <c r="G198">
        <v>1</v>
      </c>
      <c r="H198">
        <v>35.840000000000003</v>
      </c>
      <c r="I198" t="s">
        <v>28</v>
      </c>
      <c r="J198" s="1">
        <v>44612</v>
      </c>
      <c r="K198" t="s">
        <v>34</v>
      </c>
    </row>
    <row r="199" spans="1:11" x14ac:dyDescent="0.3">
      <c r="A199" t="s">
        <v>427</v>
      </c>
      <c r="B199" t="s">
        <v>428</v>
      </c>
      <c r="C199" t="s">
        <v>12</v>
      </c>
      <c r="D199">
        <v>23</v>
      </c>
      <c r="E199" s="20" t="str">
        <f t="shared" si="3"/>
        <v>18-25</v>
      </c>
      <c r="F199" t="s">
        <v>31</v>
      </c>
      <c r="G199">
        <v>2</v>
      </c>
      <c r="H199">
        <v>2100</v>
      </c>
      <c r="I199" t="s">
        <v>14</v>
      </c>
      <c r="J199" s="1">
        <v>44358</v>
      </c>
      <c r="K199" t="s">
        <v>24</v>
      </c>
    </row>
    <row r="200" spans="1:11" x14ac:dyDescent="0.3">
      <c r="A200" t="s">
        <v>429</v>
      </c>
      <c r="B200" t="s">
        <v>430</v>
      </c>
      <c r="C200" t="s">
        <v>12</v>
      </c>
      <c r="D200">
        <v>27</v>
      </c>
      <c r="E200" s="20" t="str">
        <f t="shared" si="3"/>
        <v>26-35</v>
      </c>
      <c r="F200" t="s">
        <v>48</v>
      </c>
      <c r="G200">
        <v>2</v>
      </c>
      <c r="H200">
        <v>1200.3399999999999</v>
      </c>
      <c r="I200" t="s">
        <v>28</v>
      </c>
      <c r="J200" s="1">
        <v>44524</v>
      </c>
      <c r="K200" t="s">
        <v>24</v>
      </c>
    </row>
    <row r="201" spans="1:11" x14ac:dyDescent="0.3">
      <c r="A201" t="s">
        <v>431</v>
      </c>
      <c r="B201" t="s">
        <v>432</v>
      </c>
      <c r="C201" t="s">
        <v>12</v>
      </c>
      <c r="D201">
        <v>49</v>
      </c>
      <c r="E201" s="20" t="str">
        <f t="shared" si="3"/>
        <v>46-60</v>
      </c>
      <c r="F201" t="s">
        <v>59</v>
      </c>
      <c r="G201">
        <v>4</v>
      </c>
      <c r="H201">
        <v>143.36000000000001</v>
      </c>
      <c r="I201" t="s">
        <v>14</v>
      </c>
      <c r="J201" s="1">
        <v>44721</v>
      </c>
      <c r="K201" t="s">
        <v>24</v>
      </c>
    </row>
    <row r="202" spans="1:11" x14ac:dyDescent="0.3">
      <c r="A202" t="s">
        <v>433</v>
      </c>
      <c r="B202" t="s">
        <v>434</v>
      </c>
      <c r="C202" t="s">
        <v>12</v>
      </c>
      <c r="D202">
        <v>60</v>
      </c>
      <c r="E202" s="20" t="str">
        <f t="shared" si="3"/>
        <v>46-60</v>
      </c>
      <c r="F202" t="s">
        <v>13</v>
      </c>
      <c r="G202">
        <v>5</v>
      </c>
      <c r="H202">
        <v>1500.4</v>
      </c>
      <c r="I202" t="s">
        <v>23</v>
      </c>
      <c r="J202" s="1">
        <v>44527</v>
      </c>
      <c r="K202" t="s">
        <v>43</v>
      </c>
    </row>
    <row r="203" spans="1:11" x14ac:dyDescent="0.3">
      <c r="A203" t="s">
        <v>435</v>
      </c>
      <c r="B203" t="s">
        <v>436</v>
      </c>
      <c r="C203" t="s">
        <v>12</v>
      </c>
      <c r="D203">
        <v>64</v>
      </c>
      <c r="E203" s="20" t="str">
        <f t="shared" si="3"/>
        <v>60+</v>
      </c>
      <c r="F203" t="s">
        <v>27</v>
      </c>
      <c r="G203">
        <v>5</v>
      </c>
      <c r="H203">
        <v>75.75</v>
      </c>
      <c r="I203" t="s">
        <v>23</v>
      </c>
      <c r="J203" s="1">
        <v>44657</v>
      </c>
      <c r="K203" t="s">
        <v>24</v>
      </c>
    </row>
    <row r="204" spans="1:11" x14ac:dyDescent="0.3">
      <c r="A204" t="s">
        <v>437</v>
      </c>
      <c r="B204" t="s">
        <v>438</v>
      </c>
      <c r="C204" t="s">
        <v>12</v>
      </c>
      <c r="D204">
        <v>55</v>
      </c>
      <c r="E204" s="20" t="str">
        <f t="shared" si="3"/>
        <v>46-60</v>
      </c>
      <c r="F204" t="s">
        <v>59</v>
      </c>
      <c r="G204">
        <v>3</v>
      </c>
      <c r="H204">
        <v>107.52</v>
      </c>
      <c r="I204" t="s">
        <v>14</v>
      </c>
      <c r="J204" s="1">
        <v>44641</v>
      </c>
      <c r="K204" t="s">
        <v>60</v>
      </c>
    </row>
    <row r="205" spans="1:11" x14ac:dyDescent="0.3">
      <c r="A205" t="s">
        <v>439</v>
      </c>
      <c r="B205" t="s">
        <v>440</v>
      </c>
      <c r="C205" t="s">
        <v>22</v>
      </c>
      <c r="D205">
        <v>41</v>
      </c>
      <c r="E205" s="20" t="str">
        <f t="shared" si="3"/>
        <v>36-45</v>
      </c>
      <c r="F205" t="s">
        <v>18</v>
      </c>
      <c r="G205">
        <v>5</v>
      </c>
      <c r="H205">
        <v>203.3</v>
      </c>
      <c r="I205" t="s">
        <v>14</v>
      </c>
      <c r="J205" s="1">
        <v>44388</v>
      </c>
      <c r="K205" t="s">
        <v>73</v>
      </c>
    </row>
    <row r="206" spans="1:11" x14ac:dyDescent="0.3">
      <c r="A206" t="s">
        <v>441</v>
      </c>
      <c r="B206" t="s">
        <v>442</v>
      </c>
      <c r="C206" t="s">
        <v>22</v>
      </c>
      <c r="D206">
        <v>57</v>
      </c>
      <c r="E206" s="20" t="str">
        <f t="shared" si="3"/>
        <v>46-60</v>
      </c>
      <c r="F206" t="s">
        <v>13</v>
      </c>
      <c r="G206">
        <v>5</v>
      </c>
      <c r="H206">
        <v>1500.4</v>
      </c>
      <c r="I206" t="s">
        <v>14</v>
      </c>
      <c r="J206" s="1">
        <v>44693</v>
      </c>
      <c r="K206" t="s">
        <v>24</v>
      </c>
    </row>
    <row r="207" spans="1:11" x14ac:dyDescent="0.3">
      <c r="A207" t="s">
        <v>443</v>
      </c>
      <c r="B207" t="s">
        <v>444</v>
      </c>
      <c r="C207" t="s">
        <v>12</v>
      </c>
      <c r="D207">
        <v>56</v>
      </c>
      <c r="E207" s="20" t="str">
        <f t="shared" si="3"/>
        <v>46-60</v>
      </c>
      <c r="F207" t="s">
        <v>27</v>
      </c>
      <c r="G207">
        <v>5</v>
      </c>
      <c r="H207">
        <v>75.75</v>
      </c>
      <c r="I207" t="s">
        <v>14</v>
      </c>
      <c r="J207" s="1">
        <v>44748</v>
      </c>
      <c r="K207" t="s">
        <v>40</v>
      </c>
    </row>
    <row r="208" spans="1:11" x14ac:dyDescent="0.3">
      <c r="A208" t="s">
        <v>445</v>
      </c>
      <c r="B208" t="s">
        <v>446</v>
      </c>
      <c r="C208" t="s">
        <v>12</v>
      </c>
      <c r="D208">
        <v>23</v>
      </c>
      <c r="E208" s="20" t="str">
        <f t="shared" si="3"/>
        <v>18-25</v>
      </c>
      <c r="F208" t="s">
        <v>27</v>
      </c>
      <c r="G208">
        <v>2</v>
      </c>
      <c r="H208">
        <v>30.3</v>
      </c>
      <c r="I208" t="s">
        <v>28</v>
      </c>
      <c r="J208" s="1">
        <v>44259</v>
      </c>
      <c r="K208" t="s">
        <v>34</v>
      </c>
    </row>
    <row r="209" spans="1:11" x14ac:dyDescent="0.3">
      <c r="A209" t="s">
        <v>447</v>
      </c>
      <c r="B209" t="s">
        <v>448</v>
      </c>
      <c r="C209" t="s">
        <v>22</v>
      </c>
      <c r="D209">
        <v>45</v>
      </c>
      <c r="E209" s="20" t="str">
        <f t="shared" si="3"/>
        <v>36-45</v>
      </c>
      <c r="F209" t="s">
        <v>13</v>
      </c>
      <c r="G209">
        <v>3</v>
      </c>
      <c r="H209">
        <v>900.24</v>
      </c>
      <c r="I209" t="s">
        <v>28</v>
      </c>
      <c r="J209" s="1">
        <v>44944</v>
      </c>
      <c r="K209" t="s">
        <v>43</v>
      </c>
    </row>
    <row r="210" spans="1:11" x14ac:dyDescent="0.3">
      <c r="A210" t="s">
        <v>449</v>
      </c>
      <c r="B210" t="s">
        <v>450</v>
      </c>
      <c r="C210" t="s">
        <v>22</v>
      </c>
      <c r="D210">
        <v>26</v>
      </c>
      <c r="E210" s="20" t="str">
        <f t="shared" si="3"/>
        <v>26-35</v>
      </c>
      <c r="F210" t="s">
        <v>13</v>
      </c>
      <c r="G210">
        <v>5</v>
      </c>
      <c r="H210">
        <v>1500.4</v>
      </c>
      <c r="I210" t="s">
        <v>23</v>
      </c>
      <c r="J210" s="1">
        <v>44260</v>
      </c>
      <c r="K210" t="s">
        <v>34</v>
      </c>
    </row>
    <row r="211" spans="1:11" x14ac:dyDescent="0.3">
      <c r="A211" t="s">
        <v>451</v>
      </c>
      <c r="B211" t="s">
        <v>452</v>
      </c>
      <c r="C211" t="s">
        <v>12</v>
      </c>
      <c r="D211">
        <v>54</v>
      </c>
      <c r="E211" s="20" t="str">
        <f t="shared" si="3"/>
        <v>46-60</v>
      </c>
      <c r="F211" t="s">
        <v>27</v>
      </c>
      <c r="G211">
        <v>3</v>
      </c>
      <c r="H211">
        <v>45.45</v>
      </c>
      <c r="I211" t="s">
        <v>23</v>
      </c>
      <c r="J211" s="1">
        <v>44905</v>
      </c>
      <c r="K211" t="s">
        <v>34</v>
      </c>
    </row>
    <row r="212" spans="1:11" x14ac:dyDescent="0.3">
      <c r="A212" t="s">
        <v>453</v>
      </c>
      <c r="B212" t="s">
        <v>454</v>
      </c>
      <c r="C212" t="s">
        <v>12</v>
      </c>
      <c r="D212">
        <v>25</v>
      </c>
      <c r="E212" s="20" t="str">
        <f t="shared" si="3"/>
        <v>18-25</v>
      </c>
      <c r="F212" t="s">
        <v>13</v>
      </c>
      <c r="G212">
        <v>1</v>
      </c>
      <c r="H212">
        <v>300.08</v>
      </c>
      <c r="I212" t="s">
        <v>14</v>
      </c>
      <c r="J212" s="1">
        <v>44660</v>
      </c>
      <c r="K212" t="s">
        <v>19</v>
      </c>
    </row>
    <row r="213" spans="1:11" x14ac:dyDescent="0.3">
      <c r="A213" t="s">
        <v>455</v>
      </c>
      <c r="B213" t="s">
        <v>456</v>
      </c>
      <c r="C213" t="s">
        <v>22</v>
      </c>
      <c r="D213">
        <v>66</v>
      </c>
      <c r="E213" s="20" t="str">
        <f t="shared" si="3"/>
        <v>60+</v>
      </c>
      <c r="F213" t="s">
        <v>37</v>
      </c>
      <c r="G213">
        <v>4</v>
      </c>
      <c r="H213">
        <v>20.92</v>
      </c>
      <c r="I213" t="s">
        <v>23</v>
      </c>
      <c r="J213" s="1">
        <v>44653</v>
      </c>
      <c r="K213" t="s">
        <v>43</v>
      </c>
    </row>
    <row r="214" spans="1:11" x14ac:dyDescent="0.3">
      <c r="A214" t="s">
        <v>457</v>
      </c>
      <c r="B214" t="s">
        <v>458</v>
      </c>
      <c r="C214" t="s">
        <v>22</v>
      </c>
      <c r="D214">
        <v>22</v>
      </c>
      <c r="E214" s="20" t="str">
        <f t="shared" si="3"/>
        <v>18-25</v>
      </c>
      <c r="F214" t="s">
        <v>13</v>
      </c>
      <c r="G214">
        <v>5</v>
      </c>
      <c r="H214">
        <v>1500.4</v>
      </c>
      <c r="I214" t="s">
        <v>14</v>
      </c>
      <c r="J214" s="1">
        <v>44704</v>
      </c>
      <c r="K214" t="s">
        <v>43</v>
      </c>
    </row>
    <row r="215" spans="1:11" x14ac:dyDescent="0.3">
      <c r="A215" t="s">
        <v>459</v>
      </c>
      <c r="B215" t="s">
        <v>460</v>
      </c>
      <c r="C215" t="s">
        <v>22</v>
      </c>
      <c r="D215">
        <v>69</v>
      </c>
      <c r="E215" s="20" t="str">
        <f t="shared" si="3"/>
        <v>60+</v>
      </c>
      <c r="F215" t="s">
        <v>13</v>
      </c>
      <c r="G215">
        <v>4</v>
      </c>
      <c r="H215">
        <v>1200.32</v>
      </c>
      <c r="I215" t="s">
        <v>23</v>
      </c>
      <c r="J215" s="1">
        <v>44350</v>
      </c>
      <c r="K215" t="s">
        <v>60</v>
      </c>
    </row>
    <row r="216" spans="1:11" x14ac:dyDescent="0.3">
      <c r="A216" t="s">
        <v>461</v>
      </c>
      <c r="B216" t="s">
        <v>462</v>
      </c>
      <c r="C216" t="s">
        <v>12</v>
      </c>
      <c r="D216">
        <v>65</v>
      </c>
      <c r="E216" s="20" t="str">
        <f t="shared" si="3"/>
        <v>60+</v>
      </c>
      <c r="F216" t="s">
        <v>31</v>
      </c>
      <c r="G216">
        <v>4</v>
      </c>
      <c r="H216">
        <v>4200</v>
      </c>
      <c r="I216" t="s">
        <v>28</v>
      </c>
      <c r="J216" s="1">
        <v>44683</v>
      </c>
      <c r="K216" t="s">
        <v>34</v>
      </c>
    </row>
    <row r="217" spans="1:11" x14ac:dyDescent="0.3">
      <c r="A217" t="s">
        <v>463</v>
      </c>
      <c r="B217" t="s">
        <v>464</v>
      </c>
      <c r="C217" t="s">
        <v>22</v>
      </c>
      <c r="D217">
        <v>41</v>
      </c>
      <c r="E217" s="20" t="str">
        <f t="shared" si="3"/>
        <v>36-45</v>
      </c>
      <c r="F217" t="s">
        <v>18</v>
      </c>
      <c r="G217">
        <v>2</v>
      </c>
      <c r="H217">
        <v>81.319999999999993</v>
      </c>
      <c r="I217" t="s">
        <v>28</v>
      </c>
      <c r="J217" s="1">
        <v>44454</v>
      </c>
      <c r="K217" t="s">
        <v>60</v>
      </c>
    </row>
    <row r="218" spans="1:11" x14ac:dyDescent="0.3">
      <c r="A218" t="s">
        <v>465</v>
      </c>
      <c r="B218" t="s">
        <v>466</v>
      </c>
      <c r="C218" t="s">
        <v>22</v>
      </c>
      <c r="D218">
        <v>67</v>
      </c>
      <c r="E218" s="20" t="str">
        <f t="shared" si="3"/>
        <v>60+</v>
      </c>
      <c r="F218" t="s">
        <v>13</v>
      </c>
      <c r="G218">
        <v>2</v>
      </c>
      <c r="H218">
        <v>600.16</v>
      </c>
      <c r="I218" t="s">
        <v>28</v>
      </c>
      <c r="J218" s="1">
        <v>44943</v>
      </c>
      <c r="K218" t="s">
        <v>73</v>
      </c>
    </row>
    <row r="219" spans="1:11" x14ac:dyDescent="0.3">
      <c r="A219" t="s">
        <v>467</v>
      </c>
      <c r="B219" t="s">
        <v>468</v>
      </c>
      <c r="C219" t="s">
        <v>22</v>
      </c>
      <c r="D219">
        <v>54</v>
      </c>
      <c r="E219" s="20" t="str">
        <f t="shared" si="3"/>
        <v>46-60</v>
      </c>
      <c r="F219" t="s">
        <v>18</v>
      </c>
      <c r="G219">
        <v>2</v>
      </c>
      <c r="H219">
        <v>81.319999999999993</v>
      </c>
      <c r="I219" t="s">
        <v>14</v>
      </c>
      <c r="J219" s="1">
        <v>44975</v>
      </c>
      <c r="K219" t="s">
        <v>60</v>
      </c>
    </row>
    <row r="220" spans="1:11" x14ac:dyDescent="0.3">
      <c r="A220" t="s">
        <v>469</v>
      </c>
      <c r="B220" t="s">
        <v>470</v>
      </c>
      <c r="C220" t="s">
        <v>12</v>
      </c>
      <c r="D220">
        <v>27</v>
      </c>
      <c r="E220" s="20" t="str">
        <f t="shared" si="3"/>
        <v>26-35</v>
      </c>
      <c r="F220" t="s">
        <v>56</v>
      </c>
      <c r="G220">
        <v>3</v>
      </c>
      <c r="H220">
        <v>35.19</v>
      </c>
      <c r="I220" t="s">
        <v>14</v>
      </c>
      <c r="J220" s="1">
        <v>44391</v>
      </c>
      <c r="K220" t="s">
        <v>15</v>
      </c>
    </row>
    <row r="221" spans="1:11" x14ac:dyDescent="0.3">
      <c r="A221" t="s">
        <v>471</v>
      </c>
      <c r="B221" t="s">
        <v>472</v>
      </c>
      <c r="C221" t="s">
        <v>22</v>
      </c>
      <c r="D221">
        <v>41</v>
      </c>
      <c r="E221" s="20" t="str">
        <f t="shared" si="3"/>
        <v>36-45</v>
      </c>
      <c r="F221" t="s">
        <v>37</v>
      </c>
      <c r="G221">
        <v>5</v>
      </c>
      <c r="H221">
        <v>26.15</v>
      </c>
      <c r="I221" t="s">
        <v>14</v>
      </c>
      <c r="J221" s="1">
        <v>44465</v>
      </c>
      <c r="K221" t="s">
        <v>24</v>
      </c>
    </row>
    <row r="222" spans="1:11" x14ac:dyDescent="0.3">
      <c r="A222" t="s">
        <v>473</v>
      </c>
      <c r="B222" t="s">
        <v>474</v>
      </c>
      <c r="C222" t="s">
        <v>12</v>
      </c>
      <c r="D222">
        <v>62</v>
      </c>
      <c r="E222" s="20" t="str">
        <f t="shared" si="3"/>
        <v>60+</v>
      </c>
      <c r="F222" t="s">
        <v>13</v>
      </c>
      <c r="G222">
        <v>2</v>
      </c>
      <c r="H222">
        <v>600.16</v>
      </c>
      <c r="I222" t="s">
        <v>23</v>
      </c>
      <c r="J222" s="1">
        <v>44488</v>
      </c>
      <c r="K222" t="s">
        <v>24</v>
      </c>
    </row>
    <row r="223" spans="1:11" x14ac:dyDescent="0.3">
      <c r="A223" t="s">
        <v>475</v>
      </c>
      <c r="B223" t="s">
        <v>476</v>
      </c>
      <c r="C223" t="s">
        <v>22</v>
      </c>
      <c r="D223">
        <v>62</v>
      </c>
      <c r="E223" s="20" t="str">
        <f t="shared" si="3"/>
        <v>60+</v>
      </c>
      <c r="F223" t="s">
        <v>27</v>
      </c>
      <c r="G223">
        <v>2</v>
      </c>
      <c r="H223">
        <v>30.3</v>
      </c>
      <c r="I223" t="s">
        <v>14</v>
      </c>
      <c r="J223" s="1">
        <v>44653</v>
      </c>
      <c r="K223" t="s">
        <v>34</v>
      </c>
    </row>
    <row r="224" spans="1:11" x14ac:dyDescent="0.3">
      <c r="A224" t="s">
        <v>477</v>
      </c>
      <c r="B224" t="s">
        <v>478</v>
      </c>
      <c r="C224" t="s">
        <v>12</v>
      </c>
      <c r="D224">
        <v>28</v>
      </c>
      <c r="E224" s="20" t="str">
        <f t="shared" si="3"/>
        <v>26-35</v>
      </c>
      <c r="F224" t="s">
        <v>13</v>
      </c>
      <c r="G224">
        <v>1</v>
      </c>
      <c r="H224">
        <v>300.08</v>
      </c>
      <c r="I224" t="s">
        <v>14</v>
      </c>
      <c r="J224" s="1">
        <v>44319</v>
      </c>
      <c r="K224" t="s">
        <v>34</v>
      </c>
    </row>
    <row r="225" spans="1:11" x14ac:dyDescent="0.3">
      <c r="A225" t="s">
        <v>479</v>
      </c>
      <c r="B225" t="s">
        <v>480</v>
      </c>
      <c r="C225" t="s">
        <v>12</v>
      </c>
      <c r="D225">
        <v>58</v>
      </c>
      <c r="E225" s="20" t="str">
        <f t="shared" si="3"/>
        <v>46-60</v>
      </c>
      <c r="F225" t="s">
        <v>59</v>
      </c>
      <c r="G225">
        <v>4</v>
      </c>
      <c r="H225">
        <v>143.36000000000001</v>
      </c>
      <c r="I225" t="s">
        <v>14</v>
      </c>
      <c r="J225" s="1">
        <v>44277</v>
      </c>
      <c r="K225" t="s">
        <v>84</v>
      </c>
    </row>
    <row r="226" spans="1:11" x14ac:dyDescent="0.3">
      <c r="A226" t="s">
        <v>481</v>
      </c>
      <c r="B226" t="s">
        <v>482</v>
      </c>
      <c r="C226" t="s">
        <v>12</v>
      </c>
      <c r="D226">
        <v>30</v>
      </c>
      <c r="E226" s="20" t="str">
        <f t="shared" si="3"/>
        <v>26-35</v>
      </c>
      <c r="F226" t="s">
        <v>18</v>
      </c>
      <c r="G226">
        <v>5</v>
      </c>
      <c r="H226">
        <v>203.3</v>
      </c>
      <c r="I226" t="s">
        <v>28</v>
      </c>
      <c r="J226" s="1">
        <v>44419</v>
      </c>
      <c r="K226" t="s">
        <v>15</v>
      </c>
    </row>
    <row r="227" spans="1:11" x14ac:dyDescent="0.3">
      <c r="A227" t="s">
        <v>483</v>
      </c>
      <c r="B227" t="s">
        <v>484</v>
      </c>
      <c r="C227" t="s">
        <v>12</v>
      </c>
      <c r="D227">
        <v>60</v>
      </c>
      <c r="E227" s="20" t="str">
        <f t="shared" si="3"/>
        <v>46-60</v>
      </c>
      <c r="F227" t="s">
        <v>56</v>
      </c>
      <c r="G227">
        <v>2</v>
      </c>
      <c r="H227">
        <v>23.46</v>
      </c>
      <c r="I227" t="s">
        <v>23</v>
      </c>
      <c r="J227" s="1">
        <v>44340</v>
      </c>
      <c r="K227" t="s">
        <v>53</v>
      </c>
    </row>
    <row r="228" spans="1:11" x14ac:dyDescent="0.3">
      <c r="A228" t="s">
        <v>485</v>
      </c>
      <c r="B228" t="s">
        <v>486</v>
      </c>
      <c r="C228" t="s">
        <v>22</v>
      </c>
      <c r="D228">
        <v>35</v>
      </c>
      <c r="E228" s="20" t="str">
        <f t="shared" si="3"/>
        <v>26-35</v>
      </c>
      <c r="F228" t="s">
        <v>13</v>
      </c>
      <c r="G228">
        <v>2</v>
      </c>
      <c r="H228">
        <v>600.16</v>
      </c>
      <c r="I228" t="s">
        <v>14</v>
      </c>
      <c r="J228" s="1">
        <v>44677</v>
      </c>
      <c r="K228" t="s">
        <v>19</v>
      </c>
    </row>
    <row r="229" spans="1:11" x14ac:dyDescent="0.3">
      <c r="A229" t="s">
        <v>487</v>
      </c>
      <c r="B229" t="s">
        <v>488</v>
      </c>
      <c r="C229" t="s">
        <v>22</v>
      </c>
      <c r="D229">
        <v>62</v>
      </c>
      <c r="E229" s="20" t="str">
        <f t="shared" si="3"/>
        <v>60+</v>
      </c>
      <c r="F229" t="s">
        <v>37</v>
      </c>
      <c r="G229">
        <v>4</v>
      </c>
      <c r="H229">
        <v>20.92</v>
      </c>
      <c r="I229" t="s">
        <v>14</v>
      </c>
      <c r="J229" s="1">
        <v>44892</v>
      </c>
      <c r="K229" t="s">
        <v>43</v>
      </c>
    </row>
    <row r="230" spans="1:11" x14ac:dyDescent="0.3">
      <c r="A230" t="s">
        <v>489</v>
      </c>
      <c r="B230" t="s">
        <v>490</v>
      </c>
      <c r="C230" t="s">
        <v>12</v>
      </c>
      <c r="D230">
        <v>44</v>
      </c>
      <c r="E230" s="20" t="str">
        <f t="shared" si="3"/>
        <v>36-45</v>
      </c>
      <c r="F230" t="s">
        <v>13</v>
      </c>
      <c r="G230">
        <v>2</v>
      </c>
      <c r="H230">
        <v>600.16</v>
      </c>
      <c r="I230" t="s">
        <v>14</v>
      </c>
      <c r="J230" s="1">
        <v>44389</v>
      </c>
      <c r="K230" t="s">
        <v>34</v>
      </c>
    </row>
    <row r="231" spans="1:11" x14ac:dyDescent="0.3">
      <c r="A231" t="s">
        <v>491</v>
      </c>
      <c r="B231" t="s">
        <v>492</v>
      </c>
      <c r="C231" t="s">
        <v>22</v>
      </c>
      <c r="D231">
        <v>31</v>
      </c>
      <c r="E231" s="20" t="str">
        <f t="shared" si="3"/>
        <v>26-35</v>
      </c>
      <c r="F231" t="s">
        <v>13</v>
      </c>
      <c r="G231">
        <v>4</v>
      </c>
      <c r="H231">
        <v>1200.32</v>
      </c>
      <c r="I231" t="s">
        <v>14</v>
      </c>
      <c r="J231" s="1">
        <v>44549</v>
      </c>
      <c r="K231" t="s">
        <v>43</v>
      </c>
    </row>
    <row r="232" spans="1:11" x14ac:dyDescent="0.3">
      <c r="A232" t="s">
        <v>493</v>
      </c>
      <c r="B232" t="s">
        <v>494</v>
      </c>
      <c r="C232" t="s">
        <v>12</v>
      </c>
      <c r="D232">
        <v>44</v>
      </c>
      <c r="E232" s="20" t="str">
        <f t="shared" si="3"/>
        <v>36-45</v>
      </c>
      <c r="F232" t="s">
        <v>27</v>
      </c>
      <c r="G232">
        <v>1</v>
      </c>
      <c r="H232">
        <v>15.15</v>
      </c>
      <c r="I232" t="s">
        <v>28</v>
      </c>
      <c r="J232" s="1">
        <v>44262</v>
      </c>
      <c r="K232" t="s">
        <v>24</v>
      </c>
    </row>
    <row r="233" spans="1:11" x14ac:dyDescent="0.3">
      <c r="A233" t="s">
        <v>495</v>
      </c>
      <c r="B233" t="s">
        <v>496</v>
      </c>
      <c r="C233" t="s">
        <v>22</v>
      </c>
      <c r="D233">
        <v>60</v>
      </c>
      <c r="E233" s="20" t="str">
        <f t="shared" si="3"/>
        <v>46-60</v>
      </c>
      <c r="F233" t="s">
        <v>13</v>
      </c>
      <c r="G233">
        <v>4</v>
      </c>
      <c r="H233">
        <v>1200.32</v>
      </c>
      <c r="I233" t="s">
        <v>28</v>
      </c>
      <c r="J233" s="1">
        <v>44493</v>
      </c>
      <c r="K233" t="s">
        <v>19</v>
      </c>
    </row>
    <row r="234" spans="1:11" x14ac:dyDescent="0.3">
      <c r="A234" t="s">
        <v>497</v>
      </c>
      <c r="B234" t="s">
        <v>498</v>
      </c>
      <c r="C234" t="s">
        <v>12</v>
      </c>
      <c r="D234">
        <v>36</v>
      </c>
      <c r="E234" s="20" t="str">
        <f t="shared" si="3"/>
        <v>36-45</v>
      </c>
      <c r="F234" t="s">
        <v>13</v>
      </c>
      <c r="G234">
        <v>2</v>
      </c>
      <c r="H234">
        <v>600.16</v>
      </c>
      <c r="I234" t="s">
        <v>14</v>
      </c>
      <c r="J234" s="1">
        <v>44781</v>
      </c>
      <c r="K234" t="s">
        <v>34</v>
      </c>
    </row>
    <row r="235" spans="1:11" x14ac:dyDescent="0.3">
      <c r="A235" t="s">
        <v>499</v>
      </c>
      <c r="B235" t="s">
        <v>500</v>
      </c>
      <c r="C235" t="s">
        <v>12</v>
      </c>
      <c r="D235">
        <v>24</v>
      </c>
      <c r="E235" s="20" t="str">
        <f t="shared" si="3"/>
        <v>18-25</v>
      </c>
      <c r="F235" t="s">
        <v>31</v>
      </c>
      <c r="G235">
        <v>2</v>
      </c>
      <c r="H235">
        <v>2100</v>
      </c>
      <c r="I235" t="s">
        <v>23</v>
      </c>
      <c r="J235" s="1">
        <v>44316</v>
      </c>
      <c r="K235" t="s">
        <v>24</v>
      </c>
    </row>
    <row r="236" spans="1:11" x14ac:dyDescent="0.3">
      <c r="A236" t="s">
        <v>501</v>
      </c>
      <c r="B236" t="s">
        <v>502</v>
      </c>
      <c r="C236" t="s">
        <v>22</v>
      </c>
      <c r="D236">
        <v>40</v>
      </c>
      <c r="E236" s="20" t="str">
        <f t="shared" si="3"/>
        <v>36-45</v>
      </c>
      <c r="F236" t="s">
        <v>13</v>
      </c>
      <c r="G236">
        <v>3</v>
      </c>
      <c r="H236">
        <v>900.24</v>
      </c>
      <c r="I236" t="s">
        <v>23</v>
      </c>
      <c r="J236" s="1">
        <v>44426</v>
      </c>
      <c r="K236" t="s">
        <v>24</v>
      </c>
    </row>
    <row r="237" spans="1:11" x14ac:dyDescent="0.3">
      <c r="A237" t="s">
        <v>503</v>
      </c>
      <c r="B237" t="s">
        <v>504</v>
      </c>
      <c r="C237" t="s">
        <v>12</v>
      </c>
      <c r="D237">
        <v>69</v>
      </c>
      <c r="E237" s="20" t="str">
        <f t="shared" si="3"/>
        <v>60+</v>
      </c>
      <c r="F237" t="s">
        <v>59</v>
      </c>
      <c r="G237">
        <v>2</v>
      </c>
      <c r="H237">
        <v>71.680000000000007</v>
      </c>
      <c r="I237" t="s">
        <v>14</v>
      </c>
      <c r="J237" s="1">
        <v>44759</v>
      </c>
      <c r="K237" t="s">
        <v>40</v>
      </c>
    </row>
    <row r="238" spans="1:11" x14ac:dyDescent="0.3">
      <c r="A238" t="s">
        <v>505</v>
      </c>
      <c r="B238" t="s">
        <v>506</v>
      </c>
      <c r="C238" t="s">
        <v>22</v>
      </c>
      <c r="D238">
        <v>51</v>
      </c>
      <c r="E238" s="20" t="str">
        <f t="shared" si="3"/>
        <v>46-60</v>
      </c>
      <c r="F238" t="s">
        <v>13</v>
      </c>
      <c r="G238">
        <v>2</v>
      </c>
      <c r="H238">
        <v>600.16</v>
      </c>
      <c r="I238" t="s">
        <v>23</v>
      </c>
      <c r="J238" s="1">
        <v>44683</v>
      </c>
      <c r="K238" t="s">
        <v>43</v>
      </c>
    </row>
    <row r="239" spans="1:11" x14ac:dyDescent="0.3">
      <c r="A239" t="s">
        <v>507</v>
      </c>
      <c r="B239" t="s">
        <v>508</v>
      </c>
      <c r="C239" t="s">
        <v>22</v>
      </c>
      <c r="D239">
        <v>38</v>
      </c>
      <c r="E239" s="20" t="str">
        <f t="shared" si="3"/>
        <v>36-45</v>
      </c>
      <c r="F239" t="s">
        <v>59</v>
      </c>
      <c r="G239">
        <v>1</v>
      </c>
      <c r="H239">
        <v>35.840000000000003</v>
      </c>
      <c r="I239" t="s">
        <v>23</v>
      </c>
      <c r="J239" s="1">
        <v>44235</v>
      </c>
      <c r="K239" t="s">
        <v>24</v>
      </c>
    </row>
    <row r="240" spans="1:11" x14ac:dyDescent="0.3">
      <c r="A240" t="s">
        <v>509</v>
      </c>
      <c r="B240" t="s">
        <v>510</v>
      </c>
      <c r="C240" t="s">
        <v>22</v>
      </c>
      <c r="D240">
        <v>28</v>
      </c>
      <c r="E240" s="20" t="str">
        <f t="shared" si="3"/>
        <v>26-35</v>
      </c>
      <c r="F240" t="s">
        <v>27</v>
      </c>
      <c r="G240">
        <v>1</v>
      </c>
      <c r="H240">
        <v>15.15</v>
      </c>
      <c r="I240" t="s">
        <v>23</v>
      </c>
      <c r="J240" s="1">
        <v>44924</v>
      </c>
      <c r="K240" t="s">
        <v>15</v>
      </c>
    </row>
    <row r="241" spans="1:11" x14ac:dyDescent="0.3">
      <c r="A241" t="s">
        <v>511</v>
      </c>
      <c r="B241" t="s">
        <v>512</v>
      </c>
      <c r="C241" t="s">
        <v>22</v>
      </c>
      <c r="D241">
        <v>42</v>
      </c>
      <c r="E241" s="20" t="str">
        <f t="shared" si="3"/>
        <v>36-45</v>
      </c>
      <c r="F241" t="s">
        <v>27</v>
      </c>
      <c r="G241">
        <v>1</v>
      </c>
      <c r="H241">
        <v>15.15</v>
      </c>
      <c r="I241" t="s">
        <v>14</v>
      </c>
      <c r="J241" s="1">
        <v>44620</v>
      </c>
      <c r="K241" t="s">
        <v>43</v>
      </c>
    </row>
    <row r="242" spans="1:11" x14ac:dyDescent="0.3">
      <c r="A242" t="s">
        <v>513</v>
      </c>
      <c r="B242" t="s">
        <v>514</v>
      </c>
      <c r="C242" t="s">
        <v>22</v>
      </c>
      <c r="D242">
        <v>44</v>
      </c>
      <c r="E242" s="20" t="str">
        <f t="shared" si="3"/>
        <v>36-45</v>
      </c>
      <c r="F242" t="s">
        <v>56</v>
      </c>
      <c r="G242">
        <v>4</v>
      </c>
      <c r="H242">
        <v>46.92</v>
      </c>
      <c r="I242" t="s">
        <v>23</v>
      </c>
      <c r="J242" s="1">
        <v>44594</v>
      </c>
      <c r="K242" t="s">
        <v>60</v>
      </c>
    </row>
    <row r="243" spans="1:11" x14ac:dyDescent="0.3">
      <c r="A243" t="s">
        <v>515</v>
      </c>
      <c r="B243" t="s">
        <v>516</v>
      </c>
      <c r="C243" t="s">
        <v>12</v>
      </c>
      <c r="D243">
        <v>20</v>
      </c>
      <c r="E243" s="20" t="str">
        <f t="shared" si="3"/>
        <v>18-25</v>
      </c>
      <c r="F243" t="s">
        <v>13</v>
      </c>
      <c r="G243">
        <v>2</v>
      </c>
      <c r="H243">
        <v>600.16</v>
      </c>
      <c r="I243" t="s">
        <v>23</v>
      </c>
      <c r="J243" s="1">
        <v>44651</v>
      </c>
      <c r="K243" t="s">
        <v>43</v>
      </c>
    </row>
    <row r="244" spans="1:11" x14ac:dyDescent="0.3">
      <c r="A244" t="s">
        <v>517</v>
      </c>
      <c r="B244" t="s">
        <v>518</v>
      </c>
      <c r="C244" t="s">
        <v>12</v>
      </c>
      <c r="D244">
        <v>41</v>
      </c>
      <c r="E244" s="20" t="str">
        <f t="shared" si="3"/>
        <v>36-45</v>
      </c>
      <c r="F244" t="s">
        <v>18</v>
      </c>
      <c r="G244">
        <v>5</v>
      </c>
      <c r="H244">
        <v>203.3</v>
      </c>
      <c r="I244" t="s">
        <v>23</v>
      </c>
      <c r="J244" s="1">
        <v>44201</v>
      </c>
      <c r="K244" t="s">
        <v>73</v>
      </c>
    </row>
    <row r="245" spans="1:11" x14ac:dyDescent="0.3">
      <c r="A245" t="s">
        <v>519</v>
      </c>
      <c r="B245" t="s">
        <v>520</v>
      </c>
      <c r="C245" t="s">
        <v>22</v>
      </c>
      <c r="D245">
        <v>58</v>
      </c>
      <c r="E245" s="20" t="str">
        <f t="shared" si="3"/>
        <v>46-60</v>
      </c>
      <c r="F245" t="s">
        <v>37</v>
      </c>
      <c r="G245">
        <v>3</v>
      </c>
      <c r="H245">
        <v>15.69</v>
      </c>
      <c r="I245" t="s">
        <v>28</v>
      </c>
      <c r="J245" s="1">
        <v>44656</v>
      </c>
      <c r="K245" t="s">
        <v>60</v>
      </c>
    </row>
    <row r="246" spans="1:11" x14ac:dyDescent="0.3">
      <c r="A246" t="s">
        <v>521</v>
      </c>
      <c r="B246" t="s">
        <v>522</v>
      </c>
      <c r="C246" t="s">
        <v>22</v>
      </c>
      <c r="D246">
        <v>50</v>
      </c>
      <c r="E246" s="20" t="str">
        <f t="shared" si="3"/>
        <v>46-60</v>
      </c>
      <c r="F246" t="s">
        <v>13</v>
      </c>
      <c r="G246">
        <v>4</v>
      </c>
      <c r="H246">
        <v>1200.32</v>
      </c>
      <c r="I246" t="s">
        <v>14</v>
      </c>
      <c r="J246" s="1">
        <v>44651</v>
      </c>
      <c r="K246" t="s">
        <v>43</v>
      </c>
    </row>
    <row r="247" spans="1:11" x14ac:dyDescent="0.3">
      <c r="A247" t="s">
        <v>523</v>
      </c>
      <c r="B247" t="s">
        <v>524</v>
      </c>
      <c r="C247" t="s">
        <v>22</v>
      </c>
      <c r="D247">
        <v>52</v>
      </c>
      <c r="E247" s="20" t="str">
        <f t="shared" si="3"/>
        <v>46-60</v>
      </c>
      <c r="F247" t="s">
        <v>59</v>
      </c>
      <c r="G247">
        <v>2</v>
      </c>
      <c r="H247">
        <v>71.680000000000007</v>
      </c>
      <c r="I247" t="s">
        <v>14</v>
      </c>
      <c r="J247" s="1">
        <v>44259</v>
      </c>
      <c r="K247" t="s">
        <v>34</v>
      </c>
    </row>
    <row r="248" spans="1:11" x14ac:dyDescent="0.3">
      <c r="A248" t="s">
        <v>525</v>
      </c>
      <c r="B248" t="s">
        <v>526</v>
      </c>
      <c r="C248" t="s">
        <v>12</v>
      </c>
      <c r="D248">
        <v>31</v>
      </c>
      <c r="E248" s="20" t="str">
        <f t="shared" si="3"/>
        <v>26-35</v>
      </c>
      <c r="F248" t="s">
        <v>13</v>
      </c>
      <c r="G248">
        <v>1</v>
      </c>
      <c r="H248">
        <v>300.08</v>
      </c>
      <c r="I248" t="s">
        <v>14</v>
      </c>
      <c r="J248" s="1">
        <v>44974</v>
      </c>
      <c r="K248" t="s">
        <v>24</v>
      </c>
    </row>
    <row r="249" spans="1:11" x14ac:dyDescent="0.3">
      <c r="A249" t="s">
        <v>527</v>
      </c>
      <c r="B249" t="s">
        <v>528</v>
      </c>
      <c r="C249" t="s">
        <v>22</v>
      </c>
      <c r="D249">
        <v>18</v>
      </c>
      <c r="E249" s="20" t="str">
        <f t="shared" si="3"/>
        <v>18-25</v>
      </c>
      <c r="F249" t="s">
        <v>27</v>
      </c>
      <c r="G249">
        <v>4</v>
      </c>
      <c r="H249">
        <v>60.6</v>
      </c>
      <c r="I249" t="s">
        <v>28</v>
      </c>
      <c r="J249" s="1">
        <v>44215</v>
      </c>
      <c r="K249" t="s">
        <v>24</v>
      </c>
    </row>
    <row r="250" spans="1:11" x14ac:dyDescent="0.3">
      <c r="A250" t="s">
        <v>529</v>
      </c>
      <c r="B250" t="s">
        <v>530</v>
      </c>
      <c r="C250" t="s">
        <v>22</v>
      </c>
      <c r="D250">
        <v>49</v>
      </c>
      <c r="E250" s="20" t="str">
        <f t="shared" si="3"/>
        <v>46-60</v>
      </c>
      <c r="F250" t="s">
        <v>13</v>
      </c>
      <c r="G250">
        <v>1</v>
      </c>
      <c r="H250">
        <v>300.08</v>
      </c>
      <c r="I250" t="s">
        <v>23</v>
      </c>
      <c r="J250" s="1">
        <v>44937</v>
      </c>
      <c r="K250" t="s">
        <v>40</v>
      </c>
    </row>
    <row r="251" spans="1:11" x14ac:dyDescent="0.3">
      <c r="A251" t="s">
        <v>531</v>
      </c>
      <c r="B251" t="s">
        <v>532</v>
      </c>
      <c r="C251" t="s">
        <v>22</v>
      </c>
      <c r="D251">
        <v>35</v>
      </c>
      <c r="E251" s="20" t="str">
        <f t="shared" si="3"/>
        <v>26-35</v>
      </c>
      <c r="F251" t="s">
        <v>18</v>
      </c>
      <c r="G251">
        <v>4</v>
      </c>
      <c r="H251">
        <v>162.63999999999999</v>
      </c>
      <c r="I251" t="s">
        <v>14</v>
      </c>
      <c r="J251" s="1">
        <v>44752</v>
      </c>
      <c r="K251" t="s">
        <v>73</v>
      </c>
    </row>
    <row r="252" spans="1:11" x14ac:dyDescent="0.3">
      <c r="A252" t="s">
        <v>533</v>
      </c>
      <c r="B252" t="s">
        <v>534</v>
      </c>
      <c r="C252" t="s">
        <v>12</v>
      </c>
      <c r="D252">
        <v>54</v>
      </c>
      <c r="E252" s="20" t="str">
        <f t="shared" si="3"/>
        <v>46-60</v>
      </c>
      <c r="F252" t="s">
        <v>18</v>
      </c>
      <c r="G252">
        <v>3</v>
      </c>
      <c r="H252">
        <v>121.98</v>
      </c>
      <c r="I252" t="s">
        <v>28</v>
      </c>
      <c r="J252" s="1">
        <v>44964</v>
      </c>
      <c r="K252" t="s">
        <v>84</v>
      </c>
    </row>
    <row r="253" spans="1:11" x14ac:dyDescent="0.3">
      <c r="A253" t="s">
        <v>535</v>
      </c>
      <c r="B253" t="s">
        <v>536</v>
      </c>
      <c r="C253" t="s">
        <v>22</v>
      </c>
      <c r="D253">
        <v>49</v>
      </c>
      <c r="E253" s="20" t="str">
        <f t="shared" si="3"/>
        <v>46-60</v>
      </c>
      <c r="F253" t="s">
        <v>18</v>
      </c>
      <c r="G253">
        <v>3</v>
      </c>
      <c r="H253">
        <v>121.98</v>
      </c>
      <c r="I253" t="s">
        <v>14</v>
      </c>
      <c r="J253" s="1">
        <v>44709</v>
      </c>
      <c r="K253" t="s">
        <v>43</v>
      </c>
    </row>
    <row r="254" spans="1:11" x14ac:dyDescent="0.3">
      <c r="A254" t="s">
        <v>537</v>
      </c>
      <c r="B254" t="s">
        <v>538</v>
      </c>
      <c r="C254" t="s">
        <v>22</v>
      </c>
      <c r="D254">
        <v>61</v>
      </c>
      <c r="E254" s="20" t="str">
        <f t="shared" si="3"/>
        <v>60+</v>
      </c>
      <c r="F254" t="s">
        <v>59</v>
      </c>
      <c r="G254">
        <v>5</v>
      </c>
      <c r="H254">
        <v>179.2</v>
      </c>
      <c r="I254" t="s">
        <v>28</v>
      </c>
      <c r="J254" s="1">
        <v>44296</v>
      </c>
      <c r="K254" t="s">
        <v>60</v>
      </c>
    </row>
    <row r="255" spans="1:11" x14ac:dyDescent="0.3">
      <c r="A255" t="s">
        <v>539</v>
      </c>
      <c r="B255" t="s">
        <v>540</v>
      </c>
      <c r="C255" t="s">
        <v>22</v>
      </c>
      <c r="D255">
        <v>23</v>
      </c>
      <c r="E255" s="20" t="str">
        <f t="shared" si="3"/>
        <v>18-25</v>
      </c>
      <c r="F255" t="s">
        <v>37</v>
      </c>
      <c r="G255">
        <v>3</v>
      </c>
      <c r="H255">
        <v>15.69</v>
      </c>
      <c r="I255" t="s">
        <v>28</v>
      </c>
      <c r="J255" s="1">
        <v>44627</v>
      </c>
      <c r="K255" t="s">
        <v>84</v>
      </c>
    </row>
    <row r="256" spans="1:11" x14ac:dyDescent="0.3">
      <c r="A256" t="s">
        <v>541</v>
      </c>
      <c r="B256" t="s">
        <v>542</v>
      </c>
      <c r="C256" t="s">
        <v>12</v>
      </c>
      <c r="D256">
        <v>23</v>
      </c>
      <c r="E256" s="20" t="str">
        <f t="shared" si="3"/>
        <v>18-25</v>
      </c>
      <c r="F256" t="s">
        <v>18</v>
      </c>
      <c r="G256">
        <v>5</v>
      </c>
      <c r="H256">
        <v>203.3</v>
      </c>
      <c r="I256" t="s">
        <v>14</v>
      </c>
      <c r="J256" s="1">
        <v>44288</v>
      </c>
      <c r="K256" t="s">
        <v>60</v>
      </c>
    </row>
    <row r="257" spans="1:11" x14ac:dyDescent="0.3">
      <c r="A257" t="s">
        <v>543</v>
      </c>
      <c r="B257" t="s">
        <v>544</v>
      </c>
      <c r="C257" t="s">
        <v>22</v>
      </c>
      <c r="D257">
        <v>38</v>
      </c>
      <c r="E257" s="20" t="str">
        <f t="shared" si="3"/>
        <v>36-45</v>
      </c>
      <c r="F257" t="s">
        <v>59</v>
      </c>
      <c r="G257">
        <v>3</v>
      </c>
      <c r="H257">
        <v>107.52</v>
      </c>
      <c r="I257" t="s">
        <v>28</v>
      </c>
      <c r="J257" s="1">
        <v>44498</v>
      </c>
      <c r="K257" t="s">
        <v>43</v>
      </c>
    </row>
    <row r="258" spans="1:11" x14ac:dyDescent="0.3">
      <c r="A258" t="s">
        <v>545</v>
      </c>
      <c r="B258" t="s">
        <v>546</v>
      </c>
      <c r="C258" t="s">
        <v>22</v>
      </c>
      <c r="D258">
        <v>62</v>
      </c>
      <c r="E258" s="20" t="str">
        <f t="shared" si="3"/>
        <v>60+</v>
      </c>
      <c r="F258" t="s">
        <v>27</v>
      </c>
      <c r="G258">
        <v>3</v>
      </c>
      <c r="H258">
        <v>45.45</v>
      </c>
      <c r="I258" t="s">
        <v>28</v>
      </c>
      <c r="J258" s="1">
        <v>44292</v>
      </c>
      <c r="K258" t="s">
        <v>24</v>
      </c>
    </row>
    <row r="259" spans="1:11" x14ac:dyDescent="0.3">
      <c r="A259" t="s">
        <v>547</v>
      </c>
      <c r="B259" t="s">
        <v>548</v>
      </c>
      <c r="C259" t="s">
        <v>12</v>
      </c>
      <c r="D259">
        <v>55</v>
      </c>
      <c r="E259" s="20" t="str">
        <f t="shared" ref="E259:E322" si="4">IF(D259&lt;18,"Below 18",IF(D259&lt;=25,"18-25",IF(D259&lt;=35,"26-35",IF(D259&lt;=45,"36-45",IF(D259&lt;=60,"46-60","60+")))))</f>
        <v>46-60</v>
      </c>
      <c r="F259" t="s">
        <v>37</v>
      </c>
      <c r="G259">
        <v>3</v>
      </c>
      <c r="H259">
        <v>15.69</v>
      </c>
      <c r="I259" t="s">
        <v>23</v>
      </c>
      <c r="J259" s="1">
        <v>44631</v>
      </c>
      <c r="K259" t="s">
        <v>40</v>
      </c>
    </row>
    <row r="260" spans="1:11" x14ac:dyDescent="0.3">
      <c r="A260" t="s">
        <v>549</v>
      </c>
      <c r="B260" t="s">
        <v>550</v>
      </c>
      <c r="C260" t="s">
        <v>22</v>
      </c>
      <c r="D260">
        <v>39</v>
      </c>
      <c r="E260" s="20" t="str">
        <f t="shared" si="4"/>
        <v>36-45</v>
      </c>
      <c r="F260" t="s">
        <v>18</v>
      </c>
      <c r="G260">
        <v>4</v>
      </c>
      <c r="H260">
        <v>162.63999999999999</v>
      </c>
      <c r="I260" t="s">
        <v>14</v>
      </c>
      <c r="J260" s="1">
        <v>44480</v>
      </c>
      <c r="K260" t="s">
        <v>60</v>
      </c>
    </row>
    <row r="261" spans="1:11" x14ac:dyDescent="0.3">
      <c r="A261" t="s">
        <v>551</v>
      </c>
      <c r="B261" t="s">
        <v>552</v>
      </c>
      <c r="C261" t="s">
        <v>12</v>
      </c>
      <c r="D261">
        <v>29</v>
      </c>
      <c r="E261" s="20" t="str">
        <f t="shared" si="4"/>
        <v>26-35</v>
      </c>
      <c r="F261" t="s">
        <v>18</v>
      </c>
      <c r="G261">
        <v>3</v>
      </c>
      <c r="H261">
        <v>121.98</v>
      </c>
      <c r="I261" t="s">
        <v>14</v>
      </c>
      <c r="J261" s="1">
        <v>44270</v>
      </c>
      <c r="K261" t="s">
        <v>84</v>
      </c>
    </row>
    <row r="262" spans="1:11" x14ac:dyDescent="0.3">
      <c r="A262" t="s">
        <v>553</v>
      </c>
      <c r="B262" t="s">
        <v>554</v>
      </c>
      <c r="C262" t="s">
        <v>12</v>
      </c>
      <c r="D262">
        <v>62</v>
      </c>
      <c r="E262" s="20" t="str">
        <f t="shared" si="4"/>
        <v>60+</v>
      </c>
      <c r="F262" t="s">
        <v>27</v>
      </c>
      <c r="G262">
        <v>2</v>
      </c>
      <c r="H262">
        <v>30.3</v>
      </c>
      <c r="I262" t="s">
        <v>23</v>
      </c>
      <c r="J262" s="1">
        <v>44748</v>
      </c>
      <c r="K262" t="s">
        <v>43</v>
      </c>
    </row>
    <row r="263" spans="1:11" x14ac:dyDescent="0.3">
      <c r="A263" t="s">
        <v>555</v>
      </c>
      <c r="B263" t="s">
        <v>556</v>
      </c>
      <c r="C263" t="s">
        <v>12</v>
      </c>
      <c r="D263">
        <v>23</v>
      </c>
      <c r="E263" s="20" t="str">
        <f t="shared" si="4"/>
        <v>18-25</v>
      </c>
      <c r="F263" t="s">
        <v>48</v>
      </c>
      <c r="G263">
        <v>4</v>
      </c>
      <c r="H263">
        <v>2400.6799999999998</v>
      </c>
      <c r="I263" t="s">
        <v>28</v>
      </c>
      <c r="J263" s="1">
        <v>44486</v>
      </c>
      <c r="K263" t="s">
        <v>60</v>
      </c>
    </row>
    <row r="264" spans="1:11" x14ac:dyDescent="0.3">
      <c r="A264" t="s">
        <v>557</v>
      </c>
      <c r="B264" t="s">
        <v>558</v>
      </c>
      <c r="C264" t="s">
        <v>22</v>
      </c>
      <c r="D264">
        <v>38</v>
      </c>
      <c r="E264" s="20" t="str">
        <f t="shared" si="4"/>
        <v>36-45</v>
      </c>
      <c r="F264" t="s">
        <v>27</v>
      </c>
      <c r="G264">
        <v>5</v>
      </c>
      <c r="H264">
        <v>75.75</v>
      </c>
      <c r="I264" t="s">
        <v>14</v>
      </c>
      <c r="J264" s="1">
        <v>44981</v>
      </c>
      <c r="K264" t="s">
        <v>24</v>
      </c>
    </row>
    <row r="265" spans="1:11" x14ac:dyDescent="0.3">
      <c r="A265" t="s">
        <v>559</v>
      </c>
      <c r="B265" t="s">
        <v>560</v>
      </c>
      <c r="C265" t="s">
        <v>22</v>
      </c>
      <c r="D265">
        <v>66</v>
      </c>
      <c r="E265" s="20" t="str">
        <f t="shared" si="4"/>
        <v>60+</v>
      </c>
      <c r="F265" t="s">
        <v>13</v>
      </c>
      <c r="G265">
        <v>5</v>
      </c>
      <c r="H265">
        <v>1500.4</v>
      </c>
      <c r="I265" t="s">
        <v>28</v>
      </c>
      <c r="J265" s="1">
        <v>44644</v>
      </c>
      <c r="K265" t="s">
        <v>60</v>
      </c>
    </row>
    <row r="266" spans="1:11" x14ac:dyDescent="0.3">
      <c r="A266" t="s">
        <v>561</v>
      </c>
      <c r="B266" t="s">
        <v>562</v>
      </c>
      <c r="C266" t="s">
        <v>12</v>
      </c>
      <c r="D266">
        <v>63</v>
      </c>
      <c r="E266" s="20" t="str">
        <f t="shared" si="4"/>
        <v>60+</v>
      </c>
      <c r="F266" t="s">
        <v>13</v>
      </c>
      <c r="G266">
        <v>2</v>
      </c>
      <c r="H266">
        <v>600.16</v>
      </c>
      <c r="I266" t="s">
        <v>14</v>
      </c>
      <c r="J266" s="1">
        <v>44638</v>
      </c>
      <c r="K266" t="s">
        <v>15</v>
      </c>
    </row>
    <row r="267" spans="1:11" x14ac:dyDescent="0.3">
      <c r="A267" t="s">
        <v>563</v>
      </c>
      <c r="B267" t="s">
        <v>564</v>
      </c>
      <c r="C267" t="s">
        <v>22</v>
      </c>
      <c r="D267">
        <v>38</v>
      </c>
      <c r="E267" s="20" t="str">
        <f t="shared" si="4"/>
        <v>36-45</v>
      </c>
      <c r="F267" t="s">
        <v>27</v>
      </c>
      <c r="G267">
        <v>3</v>
      </c>
      <c r="H267">
        <v>45.45</v>
      </c>
      <c r="I267" t="s">
        <v>28</v>
      </c>
      <c r="J267" s="1">
        <v>44785</v>
      </c>
      <c r="K267" t="s">
        <v>24</v>
      </c>
    </row>
    <row r="268" spans="1:11" x14ac:dyDescent="0.3">
      <c r="A268" t="s">
        <v>565</v>
      </c>
      <c r="B268" t="s">
        <v>566</v>
      </c>
      <c r="C268" t="s">
        <v>12</v>
      </c>
      <c r="D268">
        <v>50</v>
      </c>
      <c r="E268" s="20" t="str">
        <f t="shared" si="4"/>
        <v>46-60</v>
      </c>
      <c r="F268" t="s">
        <v>59</v>
      </c>
      <c r="G268">
        <v>4</v>
      </c>
      <c r="H268">
        <v>143.36000000000001</v>
      </c>
      <c r="I268" t="s">
        <v>14</v>
      </c>
      <c r="J268" s="1">
        <v>44670</v>
      </c>
      <c r="K268" t="s">
        <v>43</v>
      </c>
    </row>
    <row r="269" spans="1:11" x14ac:dyDescent="0.3">
      <c r="A269" t="s">
        <v>567</v>
      </c>
      <c r="B269" t="s">
        <v>568</v>
      </c>
      <c r="C269" t="s">
        <v>22</v>
      </c>
      <c r="D269">
        <v>21</v>
      </c>
      <c r="E269" s="20" t="str">
        <f t="shared" si="4"/>
        <v>18-25</v>
      </c>
      <c r="F269" t="s">
        <v>37</v>
      </c>
      <c r="G269">
        <v>3</v>
      </c>
      <c r="H269">
        <v>15.69</v>
      </c>
      <c r="I269" t="s">
        <v>14</v>
      </c>
      <c r="J269" s="1">
        <v>44204</v>
      </c>
      <c r="K269" t="s">
        <v>24</v>
      </c>
    </row>
    <row r="270" spans="1:11" x14ac:dyDescent="0.3">
      <c r="A270" t="s">
        <v>569</v>
      </c>
      <c r="B270" t="s">
        <v>570</v>
      </c>
      <c r="C270" t="s">
        <v>12</v>
      </c>
      <c r="D270">
        <v>20</v>
      </c>
      <c r="E270" s="20" t="str">
        <f t="shared" si="4"/>
        <v>18-25</v>
      </c>
      <c r="F270" t="s">
        <v>37</v>
      </c>
      <c r="G270">
        <v>2</v>
      </c>
      <c r="H270">
        <v>10.46</v>
      </c>
      <c r="I270" t="s">
        <v>14</v>
      </c>
      <c r="J270" s="1">
        <v>44556</v>
      </c>
      <c r="K270" t="s">
        <v>34</v>
      </c>
    </row>
    <row r="271" spans="1:11" x14ac:dyDescent="0.3">
      <c r="A271" t="s">
        <v>571</v>
      </c>
      <c r="B271" t="s">
        <v>572</v>
      </c>
      <c r="C271" t="s">
        <v>12</v>
      </c>
      <c r="D271">
        <v>55</v>
      </c>
      <c r="E271" s="20" t="str">
        <f t="shared" si="4"/>
        <v>46-60</v>
      </c>
      <c r="F271" t="s">
        <v>18</v>
      </c>
      <c r="G271">
        <v>1</v>
      </c>
      <c r="H271">
        <v>40.659999999999997</v>
      </c>
      <c r="I271" t="s">
        <v>14</v>
      </c>
      <c r="J271" s="1">
        <v>44515</v>
      </c>
      <c r="K271" t="s">
        <v>40</v>
      </c>
    </row>
    <row r="272" spans="1:11" x14ac:dyDescent="0.3">
      <c r="A272" t="s">
        <v>573</v>
      </c>
      <c r="B272" t="s">
        <v>574</v>
      </c>
      <c r="C272" t="s">
        <v>12</v>
      </c>
      <c r="D272">
        <v>32</v>
      </c>
      <c r="E272" s="20" t="str">
        <f t="shared" si="4"/>
        <v>26-35</v>
      </c>
      <c r="F272" t="s">
        <v>56</v>
      </c>
      <c r="G272">
        <v>5</v>
      </c>
      <c r="H272">
        <v>58.65</v>
      </c>
      <c r="I272" t="s">
        <v>28</v>
      </c>
      <c r="J272" s="1">
        <v>44407</v>
      </c>
      <c r="K272" t="s">
        <v>84</v>
      </c>
    </row>
    <row r="273" spans="1:11" x14ac:dyDescent="0.3">
      <c r="A273" t="s">
        <v>575</v>
      </c>
      <c r="B273" t="s">
        <v>576</v>
      </c>
      <c r="C273" t="s">
        <v>22</v>
      </c>
      <c r="D273">
        <v>43</v>
      </c>
      <c r="E273" s="20" t="str">
        <f t="shared" si="4"/>
        <v>36-45</v>
      </c>
      <c r="F273" t="s">
        <v>13</v>
      </c>
      <c r="G273">
        <v>5</v>
      </c>
      <c r="H273">
        <v>1500.4</v>
      </c>
      <c r="I273" t="s">
        <v>23</v>
      </c>
      <c r="J273" s="1">
        <v>44800</v>
      </c>
      <c r="K273" t="s">
        <v>19</v>
      </c>
    </row>
    <row r="274" spans="1:11" x14ac:dyDescent="0.3">
      <c r="A274" t="s">
        <v>577</v>
      </c>
      <c r="B274" t="s">
        <v>578</v>
      </c>
      <c r="C274" t="s">
        <v>12</v>
      </c>
      <c r="D274">
        <v>65</v>
      </c>
      <c r="E274" s="20" t="str">
        <f t="shared" si="4"/>
        <v>60+</v>
      </c>
      <c r="F274" t="s">
        <v>13</v>
      </c>
      <c r="G274">
        <v>1</v>
      </c>
      <c r="H274">
        <v>300.08</v>
      </c>
      <c r="I274" t="s">
        <v>14</v>
      </c>
      <c r="J274" s="1">
        <v>44938</v>
      </c>
      <c r="K274" t="s">
        <v>73</v>
      </c>
    </row>
    <row r="275" spans="1:11" x14ac:dyDescent="0.3">
      <c r="A275" t="s">
        <v>579</v>
      </c>
      <c r="B275" t="s">
        <v>580</v>
      </c>
      <c r="C275" t="s">
        <v>22</v>
      </c>
      <c r="D275">
        <v>45</v>
      </c>
      <c r="E275" s="20" t="str">
        <f t="shared" si="4"/>
        <v>36-45</v>
      </c>
      <c r="F275" t="s">
        <v>37</v>
      </c>
      <c r="G275">
        <v>5</v>
      </c>
      <c r="H275">
        <v>26.15</v>
      </c>
      <c r="I275" t="s">
        <v>28</v>
      </c>
      <c r="J275" s="1">
        <v>44355</v>
      </c>
      <c r="K275" t="s">
        <v>53</v>
      </c>
    </row>
    <row r="276" spans="1:11" x14ac:dyDescent="0.3">
      <c r="A276" t="s">
        <v>581</v>
      </c>
      <c r="B276" t="s">
        <v>582</v>
      </c>
      <c r="C276" t="s">
        <v>22</v>
      </c>
      <c r="D276">
        <v>54</v>
      </c>
      <c r="E276" s="20" t="str">
        <f t="shared" si="4"/>
        <v>46-60</v>
      </c>
      <c r="F276" t="s">
        <v>13</v>
      </c>
      <c r="G276">
        <v>4</v>
      </c>
      <c r="H276">
        <v>1200.32</v>
      </c>
      <c r="I276" t="s">
        <v>23</v>
      </c>
      <c r="J276" s="1">
        <v>44578</v>
      </c>
      <c r="K276" t="s">
        <v>60</v>
      </c>
    </row>
    <row r="277" spans="1:11" x14ac:dyDescent="0.3">
      <c r="A277" t="s">
        <v>583</v>
      </c>
      <c r="B277" t="s">
        <v>584</v>
      </c>
      <c r="C277" t="s">
        <v>22</v>
      </c>
      <c r="D277">
        <v>32</v>
      </c>
      <c r="E277" s="20" t="str">
        <f t="shared" si="4"/>
        <v>26-35</v>
      </c>
      <c r="F277" t="s">
        <v>18</v>
      </c>
      <c r="G277">
        <v>1</v>
      </c>
      <c r="H277">
        <v>40.659999999999997</v>
      </c>
      <c r="I277" t="s">
        <v>28</v>
      </c>
      <c r="J277" s="1">
        <v>44814</v>
      </c>
      <c r="K277" t="s">
        <v>84</v>
      </c>
    </row>
    <row r="278" spans="1:11" x14ac:dyDescent="0.3">
      <c r="A278" t="s">
        <v>585</v>
      </c>
      <c r="B278" t="s">
        <v>586</v>
      </c>
      <c r="C278" t="s">
        <v>22</v>
      </c>
      <c r="D278">
        <v>63</v>
      </c>
      <c r="E278" s="20" t="str">
        <f t="shared" si="4"/>
        <v>60+</v>
      </c>
      <c r="F278" t="s">
        <v>13</v>
      </c>
      <c r="G278">
        <v>3</v>
      </c>
      <c r="H278">
        <v>900.24</v>
      </c>
      <c r="I278" t="s">
        <v>28</v>
      </c>
      <c r="J278" s="1">
        <v>44372</v>
      </c>
      <c r="K278" t="s">
        <v>15</v>
      </c>
    </row>
    <row r="279" spans="1:11" x14ac:dyDescent="0.3">
      <c r="A279" t="s">
        <v>587</v>
      </c>
      <c r="B279" t="s">
        <v>588</v>
      </c>
      <c r="C279" t="s">
        <v>12</v>
      </c>
      <c r="D279">
        <v>44</v>
      </c>
      <c r="E279" s="20" t="str">
        <f t="shared" si="4"/>
        <v>36-45</v>
      </c>
      <c r="F279" t="s">
        <v>37</v>
      </c>
      <c r="G279">
        <v>3</v>
      </c>
      <c r="H279">
        <v>15.69</v>
      </c>
      <c r="I279" t="s">
        <v>14</v>
      </c>
      <c r="J279" s="1">
        <v>44721</v>
      </c>
      <c r="K279" t="s">
        <v>60</v>
      </c>
    </row>
    <row r="280" spans="1:11" x14ac:dyDescent="0.3">
      <c r="A280" t="s">
        <v>589</v>
      </c>
      <c r="B280" t="s">
        <v>590</v>
      </c>
      <c r="C280" t="s">
        <v>22</v>
      </c>
      <c r="D280">
        <v>49</v>
      </c>
      <c r="E280" s="20" t="str">
        <f t="shared" si="4"/>
        <v>46-60</v>
      </c>
      <c r="F280" t="s">
        <v>18</v>
      </c>
      <c r="G280">
        <v>2</v>
      </c>
      <c r="H280">
        <v>81.319999999999993</v>
      </c>
      <c r="I280" t="s">
        <v>14</v>
      </c>
      <c r="J280" s="1">
        <v>44919</v>
      </c>
      <c r="K280" t="s">
        <v>19</v>
      </c>
    </row>
    <row r="281" spans="1:11" x14ac:dyDescent="0.3">
      <c r="A281" t="s">
        <v>591</v>
      </c>
      <c r="B281" t="s">
        <v>592</v>
      </c>
      <c r="C281" t="s">
        <v>12</v>
      </c>
      <c r="D281">
        <v>35</v>
      </c>
      <c r="E281" s="20" t="str">
        <f t="shared" si="4"/>
        <v>26-35</v>
      </c>
      <c r="F281" t="s">
        <v>37</v>
      </c>
      <c r="G281">
        <v>2</v>
      </c>
      <c r="H281">
        <v>10.46</v>
      </c>
      <c r="I281" t="s">
        <v>14</v>
      </c>
      <c r="J281" s="1">
        <v>44930</v>
      </c>
      <c r="K281" t="s">
        <v>15</v>
      </c>
    </row>
    <row r="282" spans="1:11" x14ac:dyDescent="0.3">
      <c r="A282" t="s">
        <v>593</v>
      </c>
      <c r="B282" t="s">
        <v>594</v>
      </c>
      <c r="C282" t="s">
        <v>22</v>
      </c>
      <c r="D282">
        <v>44</v>
      </c>
      <c r="E282" s="20" t="str">
        <f t="shared" si="4"/>
        <v>36-45</v>
      </c>
      <c r="F282" t="s">
        <v>18</v>
      </c>
      <c r="G282">
        <v>3</v>
      </c>
      <c r="H282">
        <v>121.98</v>
      </c>
      <c r="I282" t="s">
        <v>14</v>
      </c>
      <c r="J282" s="1">
        <v>44602</v>
      </c>
      <c r="K282" t="s">
        <v>84</v>
      </c>
    </row>
    <row r="283" spans="1:11" x14ac:dyDescent="0.3">
      <c r="A283" t="s">
        <v>595</v>
      </c>
      <c r="B283" t="s">
        <v>596</v>
      </c>
      <c r="C283" t="s">
        <v>22</v>
      </c>
      <c r="D283">
        <v>54</v>
      </c>
      <c r="E283" s="20" t="str">
        <f t="shared" si="4"/>
        <v>46-60</v>
      </c>
      <c r="F283" t="s">
        <v>37</v>
      </c>
      <c r="G283">
        <v>3</v>
      </c>
      <c r="H283">
        <v>15.69</v>
      </c>
      <c r="I283" t="s">
        <v>14</v>
      </c>
      <c r="J283" s="1">
        <v>44424</v>
      </c>
      <c r="K283" t="s">
        <v>34</v>
      </c>
    </row>
    <row r="284" spans="1:11" x14ac:dyDescent="0.3">
      <c r="A284" t="s">
        <v>597</v>
      </c>
      <c r="B284" t="s">
        <v>598</v>
      </c>
      <c r="C284" t="s">
        <v>12</v>
      </c>
      <c r="D284">
        <v>46</v>
      </c>
      <c r="E284" s="20" t="str">
        <f t="shared" si="4"/>
        <v>46-60</v>
      </c>
      <c r="F284" t="s">
        <v>27</v>
      </c>
      <c r="G284">
        <v>2</v>
      </c>
      <c r="H284">
        <v>30.3</v>
      </c>
      <c r="I284" t="s">
        <v>14</v>
      </c>
      <c r="J284" s="1">
        <v>44987</v>
      </c>
      <c r="K284" t="s">
        <v>34</v>
      </c>
    </row>
    <row r="285" spans="1:11" x14ac:dyDescent="0.3">
      <c r="A285" t="s">
        <v>599</v>
      </c>
      <c r="B285" t="s">
        <v>600</v>
      </c>
      <c r="C285" t="s">
        <v>22</v>
      </c>
      <c r="D285">
        <v>20</v>
      </c>
      <c r="E285" s="20" t="str">
        <f t="shared" si="4"/>
        <v>18-25</v>
      </c>
      <c r="F285" t="s">
        <v>59</v>
      </c>
      <c r="G285">
        <v>2</v>
      </c>
      <c r="H285">
        <v>71.680000000000007</v>
      </c>
      <c r="I285" t="s">
        <v>14</v>
      </c>
      <c r="J285" s="1">
        <v>44441</v>
      </c>
      <c r="K285" t="s">
        <v>24</v>
      </c>
    </row>
    <row r="286" spans="1:11" x14ac:dyDescent="0.3">
      <c r="A286" t="s">
        <v>601</v>
      </c>
      <c r="B286" t="s">
        <v>602</v>
      </c>
      <c r="C286" t="s">
        <v>22</v>
      </c>
      <c r="D286">
        <v>39</v>
      </c>
      <c r="E286" s="20" t="str">
        <f t="shared" si="4"/>
        <v>36-45</v>
      </c>
      <c r="F286" t="s">
        <v>48</v>
      </c>
      <c r="G286">
        <v>3</v>
      </c>
      <c r="H286">
        <v>1800.51</v>
      </c>
      <c r="I286" t="s">
        <v>14</v>
      </c>
      <c r="J286" s="1">
        <v>44209</v>
      </c>
      <c r="K286" t="s">
        <v>60</v>
      </c>
    </row>
    <row r="287" spans="1:11" x14ac:dyDescent="0.3">
      <c r="A287" t="s">
        <v>603</v>
      </c>
      <c r="B287" t="s">
        <v>604</v>
      </c>
      <c r="C287" t="s">
        <v>12</v>
      </c>
      <c r="D287">
        <v>32</v>
      </c>
      <c r="E287" s="20" t="str">
        <f t="shared" si="4"/>
        <v>26-35</v>
      </c>
      <c r="F287" t="s">
        <v>56</v>
      </c>
      <c r="G287">
        <v>1</v>
      </c>
      <c r="H287">
        <v>11.73</v>
      </c>
      <c r="I287" t="s">
        <v>23</v>
      </c>
      <c r="J287" s="1">
        <v>44322</v>
      </c>
      <c r="K287" t="s">
        <v>43</v>
      </c>
    </row>
    <row r="288" spans="1:11" x14ac:dyDescent="0.3">
      <c r="A288" t="s">
        <v>605</v>
      </c>
      <c r="B288" t="s">
        <v>606</v>
      </c>
      <c r="C288" t="s">
        <v>22</v>
      </c>
      <c r="D288">
        <v>37</v>
      </c>
      <c r="E288" s="20" t="str">
        <f t="shared" si="4"/>
        <v>36-45</v>
      </c>
      <c r="F288" t="s">
        <v>56</v>
      </c>
      <c r="G288">
        <v>1</v>
      </c>
      <c r="H288">
        <v>11.73</v>
      </c>
      <c r="I288" t="s">
        <v>14</v>
      </c>
      <c r="J288" s="1">
        <v>44972</v>
      </c>
      <c r="K288" t="s">
        <v>34</v>
      </c>
    </row>
    <row r="289" spans="1:11" x14ac:dyDescent="0.3">
      <c r="A289" t="s">
        <v>607</v>
      </c>
      <c r="B289" t="s">
        <v>608</v>
      </c>
      <c r="C289" t="s">
        <v>12</v>
      </c>
      <c r="D289">
        <v>38</v>
      </c>
      <c r="E289" s="20" t="str">
        <f t="shared" si="4"/>
        <v>36-45</v>
      </c>
      <c r="F289" t="s">
        <v>27</v>
      </c>
      <c r="G289">
        <v>5</v>
      </c>
      <c r="H289">
        <v>75.75</v>
      </c>
      <c r="I289" t="s">
        <v>14</v>
      </c>
      <c r="J289" s="1">
        <v>44440</v>
      </c>
      <c r="K289" t="s">
        <v>24</v>
      </c>
    </row>
    <row r="290" spans="1:11" x14ac:dyDescent="0.3">
      <c r="A290" t="s">
        <v>609</v>
      </c>
      <c r="B290" t="s">
        <v>610</v>
      </c>
      <c r="C290" t="s">
        <v>22</v>
      </c>
      <c r="D290">
        <v>41</v>
      </c>
      <c r="E290" s="20" t="str">
        <f t="shared" si="4"/>
        <v>36-45</v>
      </c>
      <c r="F290" t="s">
        <v>18</v>
      </c>
      <c r="G290">
        <v>5</v>
      </c>
      <c r="H290">
        <v>203.3</v>
      </c>
      <c r="I290" t="s">
        <v>14</v>
      </c>
      <c r="J290" s="1">
        <v>44549</v>
      </c>
      <c r="K290" t="s">
        <v>34</v>
      </c>
    </row>
    <row r="291" spans="1:11" x14ac:dyDescent="0.3">
      <c r="A291" t="s">
        <v>611</v>
      </c>
      <c r="B291" t="s">
        <v>612</v>
      </c>
      <c r="C291" t="s">
        <v>12</v>
      </c>
      <c r="D291">
        <v>61</v>
      </c>
      <c r="E291" s="20" t="str">
        <f t="shared" si="4"/>
        <v>60+</v>
      </c>
      <c r="F291" t="s">
        <v>48</v>
      </c>
      <c r="G291">
        <v>4</v>
      </c>
      <c r="H291">
        <v>2400.6799999999998</v>
      </c>
      <c r="I291" t="s">
        <v>28</v>
      </c>
      <c r="J291" s="1">
        <v>44839</v>
      </c>
      <c r="K291" t="s">
        <v>43</v>
      </c>
    </row>
    <row r="292" spans="1:11" x14ac:dyDescent="0.3">
      <c r="A292" t="s">
        <v>613</v>
      </c>
      <c r="B292" t="s">
        <v>614</v>
      </c>
      <c r="C292" t="s">
        <v>12</v>
      </c>
      <c r="D292">
        <v>30</v>
      </c>
      <c r="E292" s="20" t="str">
        <f t="shared" si="4"/>
        <v>26-35</v>
      </c>
      <c r="F292" t="s">
        <v>13</v>
      </c>
      <c r="G292">
        <v>5</v>
      </c>
      <c r="H292">
        <v>1500.4</v>
      </c>
      <c r="I292" t="s">
        <v>14</v>
      </c>
      <c r="J292" s="1">
        <v>44735</v>
      </c>
      <c r="K292" t="s">
        <v>43</v>
      </c>
    </row>
    <row r="293" spans="1:11" x14ac:dyDescent="0.3">
      <c r="A293" t="s">
        <v>615</v>
      </c>
      <c r="B293" t="s">
        <v>616</v>
      </c>
      <c r="C293" t="s">
        <v>12</v>
      </c>
      <c r="D293">
        <v>20</v>
      </c>
      <c r="E293" s="20" t="str">
        <f t="shared" si="4"/>
        <v>18-25</v>
      </c>
      <c r="F293" t="s">
        <v>37</v>
      </c>
      <c r="G293">
        <v>5</v>
      </c>
      <c r="H293">
        <v>26.15</v>
      </c>
      <c r="I293" t="s">
        <v>14</v>
      </c>
      <c r="J293" s="1">
        <v>44430</v>
      </c>
      <c r="K293" t="s">
        <v>19</v>
      </c>
    </row>
    <row r="294" spans="1:11" x14ac:dyDescent="0.3">
      <c r="A294" t="s">
        <v>617</v>
      </c>
      <c r="B294" t="s">
        <v>618</v>
      </c>
      <c r="C294" t="s">
        <v>22</v>
      </c>
      <c r="D294">
        <v>41</v>
      </c>
      <c r="E294" s="20" t="str">
        <f t="shared" si="4"/>
        <v>36-45</v>
      </c>
      <c r="F294" t="s">
        <v>13</v>
      </c>
      <c r="G294">
        <v>1</v>
      </c>
      <c r="H294">
        <v>300.08</v>
      </c>
      <c r="I294" t="s">
        <v>23</v>
      </c>
      <c r="J294" s="1">
        <v>44729</v>
      </c>
      <c r="K294" t="s">
        <v>43</v>
      </c>
    </row>
    <row r="295" spans="1:11" x14ac:dyDescent="0.3">
      <c r="A295" t="s">
        <v>619</v>
      </c>
      <c r="B295" t="s">
        <v>620</v>
      </c>
      <c r="C295" t="s">
        <v>22</v>
      </c>
      <c r="D295">
        <v>21</v>
      </c>
      <c r="E295" s="20" t="str">
        <f t="shared" si="4"/>
        <v>18-25</v>
      </c>
      <c r="F295" t="s">
        <v>13</v>
      </c>
      <c r="G295">
        <v>3</v>
      </c>
      <c r="H295">
        <v>900.24</v>
      </c>
      <c r="I295" t="s">
        <v>23</v>
      </c>
      <c r="J295" s="1">
        <v>44550</v>
      </c>
      <c r="K295" t="s">
        <v>34</v>
      </c>
    </row>
    <row r="296" spans="1:11" x14ac:dyDescent="0.3">
      <c r="A296" t="s">
        <v>621</v>
      </c>
      <c r="B296" t="s">
        <v>622</v>
      </c>
      <c r="C296" t="s">
        <v>12</v>
      </c>
      <c r="D296">
        <v>32</v>
      </c>
      <c r="E296" s="20" t="str">
        <f t="shared" si="4"/>
        <v>26-35</v>
      </c>
      <c r="F296" t="s">
        <v>37</v>
      </c>
      <c r="G296">
        <v>5</v>
      </c>
      <c r="H296">
        <v>26.15</v>
      </c>
      <c r="I296" t="s">
        <v>23</v>
      </c>
      <c r="J296" s="1">
        <v>44918</v>
      </c>
      <c r="K296" t="s">
        <v>43</v>
      </c>
    </row>
    <row r="297" spans="1:11" x14ac:dyDescent="0.3">
      <c r="A297" t="s">
        <v>623</v>
      </c>
      <c r="B297" t="s">
        <v>624</v>
      </c>
      <c r="C297" t="s">
        <v>22</v>
      </c>
      <c r="D297">
        <v>18</v>
      </c>
      <c r="E297" s="20" t="str">
        <f t="shared" si="4"/>
        <v>18-25</v>
      </c>
      <c r="F297" t="s">
        <v>31</v>
      </c>
      <c r="G297">
        <v>1</v>
      </c>
      <c r="H297">
        <v>1050</v>
      </c>
      <c r="I297" t="s">
        <v>28</v>
      </c>
      <c r="J297" s="1">
        <v>44437</v>
      </c>
      <c r="K297" t="s">
        <v>34</v>
      </c>
    </row>
    <row r="298" spans="1:11" x14ac:dyDescent="0.3">
      <c r="A298" t="s">
        <v>625</v>
      </c>
      <c r="B298" t="s">
        <v>626</v>
      </c>
      <c r="C298" t="s">
        <v>22</v>
      </c>
      <c r="D298">
        <v>41</v>
      </c>
      <c r="E298" s="20" t="str">
        <f t="shared" si="4"/>
        <v>36-45</v>
      </c>
      <c r="F298" t="s">
        <v>48</v>
      </c>
      <c r="G298">
        <v>4</v>
      </c>
      <c r="H298">
        <v>2400.6799999999998</v>
      </c>
      <c r="I298" t="s">
        <v>14</v>
      </c>
      <c r="J298" s="1">
        <v>44799</v>
      </c>
      <c r="K298" t="s">
        <v>19</v>
      </c>
    </row>
    <row r="299" spans="1:11" x14ac:dyDescent="0.3">
      <c r="A299" t="s">
        <v>627</v>
      </c>
      <c r="B299" t="s">
        <v>628</v>
      </c>
      <c r="C299" t="s">
        <v>22</v>
      </c>
      <c r="D299">
        <v>22</v>
      </c>
      <c r="E299" s="20" t="str">
        <f t="shared" si="4"/>
        <v>18-25</v>
      </c>
      <c r="F299" t="s">
        <v>37</v>
      </c>
      <c r="G299">
        <v>1</v>
      </c>
      <c r="H299">
        <v>5.23</v>
      </c>
      <c r="I299" t="s">
        <v>28</v>
      </c>
      <c r="J299" s="1">
        <v>44821</v>
      </c>
      <c r="K299" t="s">
        <v>43</v>
      </c>
    </row>
    <row r="300" spans="1:11" x14ac:dyDescent="0.3">
      <c r="A300" t="s">
        <v>629</v>
      </c>
      <c r="B300" t="s">
        <v>630</v>
      </c>
      <c r="C300" t="s">
        <v>22</v>
      </c>
      <c r="D300">
        <v>31</v>
      </c>
      <c r="E300" s="20" t="str">
        <f t="shared" si="4"/>
        <v>26-35</v>
      </c>
      <c r="F300" t="s">
        <v>18</v>
      </c>
      <c r="G300">
        <v>1</v>
      </c>
      <c r="H300">
        <v>40.659999999999997</v>
      </c>
      <c r="I300" t="s">
        <v>28</v>
      </c>
      <c r="J300" s="1">
        <v>44320</v>
      </c>
      <c r="K300" t="s">
        <v>43</v>
      </c>
    </row>
    <row r="301" spans="1:11" x14ac:dyDescent="0.3">
      <c r="A301" t="s">
        <v>631</v>
      </c>
      <c r="B301" t="s">
        <v>632</v>
      </c>
      <c r="C301" t="s">
        <v>22</v>
      </c>
      <c r="D301">
        <v>53</v>
      </c>
      <c r="E301" s="20" t="str">
        <f t="shared" si="4"/>
        <v>46-60</v>
      </c>
      <c r="F301" t="s">
        <v>18</v>
      </c>
      <c r="G301">
        <v>4</v>
      </c>
      <c r="H301">
        <v>162.63999999999999</v>
      </c>
      <c r="I301" t="s">
        <v>28</v>
      </c>
      <c r="J301" s="1">
        <v>44433</v>
      </c>
      <c r="K301" t="s">
        <v>34</v>
      </c>
    </row>
    <row r="302" spans="1:11" x14ac:dyDescent="0.3">
      <c r="A302" t="s">
        <v>633</v>
      </c>
      <c r="B302" t="s">
        <v>634</v>
      </c>
      <c r="C302" t="s">
        <v>22</v>
      </c>
      <c r="D302">
        <v>31</v>
      </c>
      <c r="E302" s="20" t="str">
        <f t="shared" si="4"/>
        <v>26-35</v>
      </c>
      <c r="F302" t="s">
        <v>18</v>
      </c>
      <c r="G302">
        <v>3</v>
      </c>
      <c r="H302">
        <v>121.98</v>
      </c>
      <c r="I302" t="s">
        <v>14</v>
      </c>
      <c r="J302" s="1">
        <v>44549</v>
      </c>
      <c r="K302" t="s">
        <v>24</v>
      </c>
    </row>
    <row r="303" spans="1:11" x14ac:dyDescent="0.3">
      <c r="A303" t="s">
        <v>635</v>
      </c>
      <c r="B303" t="s">
        <v>636</v>
      </c>
      <c r="C303" t="s">
        <v>22</v>
      </c>
      <c r="D303">
        <v>41</v>
      </c>
      <c r="E303" s="20" t="str">
        <f t="shared" si="4"/>
        <v>36-45</v>
      </c>
      <c r="F303" t="s">
        <v>37</v>
      </c>
      <c r="G303">
        <v>1</v>
      </c>
      <c r="H303">
        <v>5.23</v>
      </c>
      <c r="I303" t="s">
        <v>28</v>
      </c>
      <c r="J303" s="1">
        <v>44659</v>
      </c>
      <c r="K303" t="s">
        <v>84</v>
      </c>
    </row>
    <row r="304" spans="1:11" x14ac:dyDescent="0.3">
      <c r="A304" t="s">
        <v>637</v>
      </c>
      <c r="B304" t="s">
        <v>638</v>
      </c>
      <c r="C304" t="s">
        <v>12</v>
      </c>
      <c r="D304">
        <v>59</v>
      </c>
      <c r="E304" s="20" t="str">
        <f t="shared" si="4"/>
        <v>46-60</v>
      </c>
      <c r="F304" t="s">
        <v>18</v>
      </c>
      <c r="G304">
        <v>1</v>
      </c>
      <c r="H304">
        <v>40.659999999999997</v>
      </c>
      <c r="I304" t="s">
        <v>28</v>
      </c>
      <c r="J304" s="1">
        <v>44239</v>
      </c>
      <c r="K304" t="s">
        <v>24</v>
      </c>
    </row>
    <row r="305" spans="1:11" x14ac:dyDescent="0.3">
      <c r="A305" t="s">
        <v>639</v>
      </c>
      <c r="B305" t="s">
        <v>640</v>
      </c>
      <c r="C305" t="s">
        <v>12</v>
      </c>
      <c r="D305">
        <v>43</v>
      </c>
      <c r="E305" s="20" t="str">
        <f t="shared" si="4"/>
        <v>36-45</v>
      </c>
      <c r="F305" t="s">
        <v>13</v>
      </c>
      <c r="G305">
        <v>2</v>
      </c>
      <c r="H305">
        <v>600.16</v>
      </c>
      <c r="I305" t="s">
        <v>14</v>
      </c>
      <c r="J305" s="1">
        <v>44862</v>
      </c>
      <c r="K305" t="s">
        <v>24</v>
      </c>
    </row>
    <row r="306" spans="1:11" x14ac:dyDescent="0.3">
      <c r="A306" t="s">
        <v>641</v>
      </c>
      <c r="B306" t="s">
        <v>642</v>
      </c>
      <c r="C306" t="s">
        <v>22</v>
      </c>
      <c r="D306">
        <v>35</v>
      </c>
      <c r="E306" s="20" t="str">
        <f t="shared" si="4"/>
        <v>26-35</v>
      </c>
      <c r="F306" t="s">
        <v>13</v>
      </c>
      <c r="G306">
        <v>1</v>
      </c>
      <c r="H306">
        <v>300.08</v>
      </c>
      <c r="I306" t="s">
        <v>23</v>
      </c>
      <c r="J306" s="1">
        <v>44368</v>
      </c>
      <c r="K306" t="s">
        <v>24</v>
      </c>
    </row>
    <row r="307" spans="1:11" x14ac:dyDescent="0.3">
      <c r="A307" t="s">
        <v>643</v>
      </c>
      <c r="B307" t="s">
        <v>644</v>
      </c>
      <c r="C307" t="s">
        <v>22</v>
      </c>
      <c r="D307">
        <v>46</v>
      </c>
      <c r="E307" s="20" t="str">
        <f t="shared" si="4"/>
        <v>46-60</v>
      </c>
      <c r="F307" t="s">
        <v>48</v>
      </c>
      <c r="G307">
        <v>4</v>
      </c>
      <c r="H307">
        <v>2400.6799999999998</v>
      </c>
      <c r="I307" t="s">
        <v>14</v>
      </c>
      <c r="J307" s="1">
        <v>44617</v>
      </c>
      <c r="K307" t="s">
        <v>84</v>
      </c>
    </row>
    <row r="308" spans="1:11" x14ac:dyDescent="0.3">
      <c r="A308" t="s">
        <v>645</v>
      </c>
      <c r="B308" t="s">
        <v>646</v>
      </c>
      <c r="C308" t="s">
        <v>22</v>
      </c>
      <c r="D308">
        <v>57</v>
      </c>
      <c r="E308" s="20" t="str">
        <f t="shared" si="4"/>
        <v>46-60</v>
      </c>
      <c r="F308" t="s">
        <v>27</v>
      </c>
      <c r="G308">
        <v>3</v>
      </c>
      <c r="H308">
        <v>45.45</v>
      </c>
      <c r="I308" t="s">
        <v>14</v>
      </c>
      <c r="J308" s="1">
        <v>44957</v>
      </c>
      <c r="K308" t="s">
        <v>43</v>
      </c>
    </row>
    <row r="309" spans="1:11" x14ac:dyDescent="0.3">
      <c r="A309" t="s">
        <v>647</v>
      </c>
      <c r="B309" t="s">
        <v>648</v>
      </c>
      <c r="C309" t="s">
        <v>22</v>
      </c>
      <c r="D309">
        <v>47</v>
      </c>
      <c r="E309" s="20" t="str">
        <f t="shared" si="4"/>
        <v>46-60</v>
      </c>
      <c r="F309" t="s">
        <v>13</v>
      </c>
      <c r="G309">
        <v>2</v>
      </c>
      <c r="H309">
        <v>600.16</v>
      </c>
      <c r="I309" t="s">
        <v>14</v>
      </c>
      <c r="J309" s="1">
        <v>44678</v>
      </c>
      <c r="K309" t="s">
        <v>53</v>
      </c>
    </row>
    <row r="310" spans="1:11" x14ac:dyDescent="0.3">
      <c r="A310" t="s">
        <v>649</v>
      </c>
      <c r="B310" t="s">
        <v>650</v>
      </c>
      <c r="C310" t="s">
        <v>22</v>
      </c>
      <c r="D310">
        <v>35</v>
      </c>
      <c r="E310" s="20" t="str">
        <f t="shared" si="4"/>
        <v>26-35</v>
      </c>
      <c r="F310" t="s">
        <v>27</v>
      </c>
      <c r="G310">
        <v>1</v>
      </c>
      <c r="H310">
        <v>15.15</v>
      </c>
      <c r="I310" t="s">
        <v>23</v>
      </c>
      <c r="J310" s="1">
        <v>44364</v>
      </c>
      <c r="K310" t="s">
        <v>73</v>
      </c>
    </row>
    <row r="311" spans="1:11" x14ac:dyDescent="0.3">
      <c r="A311" t="s">
        <v>651</v>
      </c>
      <c r="B311" t="s">
        <v>652</v>
      </c>
      <c r="C311" t="s">
        <v>12</v>
      </c>
      <c r="D311">
        <v>29</v>
      </c>
      <c r="E311" s="20" t="str">
        <f t="shared" si="4"/>
        <v>26-35</v>
      </c>
      <c r="F311" t="s">
        <v>18</v>
      </c>
      <c r="G311">
        <v>4</v>
      </c>
      <c r="H311">
        <v>162.63999999999999</v>
      </c>
      <c r="I311" t="s">
        <v>14</v>
      </c>
      <c r="J311" s="1">
        <v>44396</v>
      </c>
      <c r="K311" t="s">
        <v>24</v>
      </c>
    </row>
    <row r="312" spans="1:11" x14ac:dyDescent="0.3">
      <c r="A312" t="s">
        <v>653</v>
      </c>
      <c r="B312" t="s">
        <v>654</v>
      </c>
      <c r="C312" t="s">
        <v>22</v>
      </c>
      <c r="D312">
        <v>63</v>
      </c>
      <c r="E312" s="20" t="str">
        <f t="shared" si="4"/>
        <v>60+</v>
      </c>
      <c r="F312" t="s">
        <v>48</v>
      </c>
      <c r="G312">
        <v>4</v>
      </c>
      <c r="H312">
        <v>2400.6799999999998</v>
      </c>
      <c r="I312" t="s">
        <v>14</v>
      </c>
      <c r="J312" s="1">
        <v>44372</v>
      </c>
      <c r="K312" t="s">
        <v>15</v>
      </c>
    </row>
    <row r="313" spans="1:11" x14ac:dyDescent="0.3">
      <c r="A313" t="s">
        <v>655</v>
      </c>
      <c r="B313" t="s">
        <v>656</v>
      </c>
      <c r="C313" t="s">
        <v>12</v>
      </c>
      <c r="D313">
        <v>51</v>
      </c>
      <c r="E313" s="20" t="str">
        <f t="shared" si="4"/>
        <v>46-60</v>
      </c>
      <c r="F313" t="s">
        <v>13</v>
      </c>
      <c r="G313">
        <v>1</v>
      </c>
      <c r="H313">
        <v>300.08</v>
      </c>
      <c r="I313" t="s">
        <v>28</v>
      </c>
      <c r="J313" s="1">
        <v>44356</v>
      </c>
      <c r="K313" t="s">
        <v>84</v>
      </c>
    </row>
    <row r="314" spans="1:11" x14ac:dyDescent="0.3">
      <c r="A314" t="s">
        <v>657</v>
      </c>
      <c r="B314" t="s">
        <v>658</v>
      </c>
      <c r="C314" t="s">
        <v>22</v>
      </c>
      <c r="D314">
        <v>27</v>
      </c>
      <c r="E314" s="20" t="str">
        <f t="shared" si="4"/>
        <v>26-35</v>
      </c>
      <c r="F314" t="s">
        <v>59</v>
      </c>
      <c r="G314">
        <v>3</v>
      </c>
      <c r="H314">
        <v>107.52</v>
      </c>
      <c r="I314" t="s">
        <v>23</v>
      </c>
      <c r="J314" s="1">
        <v>44809</v>
      </c>
      <c r="K314" t="s">
        <v>34</v>
      </c>
    </row>
    <row r="315" spans="1:11" x14ac:dyDescent="0.3">
      <c r="A315" t="s">
        <v>659</v>
      </c>
      <c r="B315" t="s">
        <v>660</v>
      </c>
      <c r="C315" t="s">
        <v>22</v>
      </c>
      <c r="D315">
        <v>24</v>
      </c>
      <c r="E315" s="20" t="str">
        <f t="shared" si="4"/>
        <v>18-25</v>
      </c>
      <c r="F315" t="s">
        <v>18</v>
      </c>
      <c r="G315">
        <v>5</v>
      </c>
      <c r="H315">
        <v>203.3</v>
      </c>
      <c r="I315" t="s">
        <v>14</v>
      </c>
      <c r="J315" s="1">
        <v>44730</v>
      </c>
      <c r="K315" t="s">
        <v>34</v>
      </c>
    </row>
    <row r="316" spans="1:11" x14ac:dyDescent="0.3">
      <c r="A316" t="s">
        <v>661</v>
      </c>
      <c r="B316" t="s">
        <v>662</v>
      </c>
      <c r="C316" t="s">
        <v>22</v>
      </c>
      <c r="D316">
        <v>33</v>
      </c>
      <c r="E316" s="20" t="str">
        <f t="shared" si="4"/>
        <v>26-35</v>
      </c>
      <c r="F316" t="s">
        <v>13</v>
      </c>
      <c r="G316">
        <v>2</v>
      </c>
      <c r="H316">
        <v>600.16</v>
      </c>
      <c r="I316" t="s">
        <v>28</v>
      </c>
      <c r="J316" s="1">
        <v>44955</v>
      </c>
      <c r="K316" t="s">
        <v>60</v>
      </c>
    </row>
    <row r="317" spans="1:11" x14ac:dyDescent="0.3">
      <c r="A317" t="s">
        <v>663</v>
      </c>
      <c r="B317" t="s">
        <v>664</v>
      </c>
      <c r="C317" t="s">
        <v>22</v>
      </c>
      <c r="D317">
        <v>67</v>
      </c>
      <c r="E317" s="20" t="str">
        <f t="shared" si="4"/>
        <v>60+</v>
      </c>
      <c r="F317" t="s">
        <v>13</v>
      </c>
      <c r="G317">
        <v>1</v>
      </c>
      <c r="H317">
        <v>300.08</v>
      </c>
      <c r="I317" t="s">
        <v>28</v>
      </c>
      <c r="J317" s="1">
        <v>44710</v>
      </c>
      <c r="K317" t="s">
        <v>40</v>
      </c>
    </row>
    <row r="318" spans="1:11" x14ac:dyDescent="0.3">
      <c r="A318" t="s">
        <v>665</v>
      </c>
      <c r="B318" t="s">
        <v>666</v>
      </c>
      <c r="C318" t="s">
        <v>12</v>
      </c>
      <c r="D318">
        <v>37</v>
      </c>
      <c r="E318" s="20" t="str">
        <f t="shared" si="4"/>
        <v>36-45</v>
      </c>
      <c r="F318" t="s">
        <v>13</v>
      </c>
      <c r="G318">
        <v>2</v>
      </c>
      <c r="H318">
        <v>600.16</v>
      </c>
      <c r="I318" t="s">
        <v>14</v>
      </c>
      <c r="J318" s="1">
        <v>44831</v>
      </c>
      <c r="K318" t="s">
        <v>84</v>
      </c>
    </row>
    <row r="319" spans="1:11" x14ac:dyDescent="0.3">
      <c r="A319" t="s">
        <v>667</v>
      </c>
      <c r="B319" t="s">
        <v>668</v>
      </c>
      <c r="C319" t="s">
        <v>12</v>
      </c>
      <c r="D319">
        <v>29</v>
      </c>
      <c r="E319" s="20" t="str">
        <f t="shared" si="4"/>
        <v>26-35</v>
      </c>
      <c r="F319" t="s">
        <v>48</v>
      </c>
      <c r="G319">
        <v>5</v>
      </c>
      <c r="H319">
        <v>3000.85</v>
      </c>
      <c r="I319" t="s">
        <v>23</v>
      </c>
      <c r="J319" s="1">
        <v>44262</v>
      </c>
      <c r="K319" t="s">
        <v>60</v>
      </c>
    </row>
    <row r="320" spans="1:11" x14ac:dyDescent="0.3">
      <c r="A320" t="s">
        <v>669</v>
      </c>
      <c r="B320" t="s">
        <v>670</v>
      </c>
      <c r="C320" t="s">
        <v>12</v>
      </c>
      <c r="D320">
        <v>24</v>
      </c>
      <c r="E320" s="20" t="str">
        <f t="shared" si="4"/>
        <v>18-25</v>
      </c>
      <c r="F320" t="s">
        <v>59</v>
      </c>
      <c r="G320">
        <v>3</v>
      </c>
      <c r="H320">
        <v>107.52</v>
      </c>
      <c r="I320" t="s">
        <v>23</v>
      </c>
      <c r="J320" s="1">
        <v>44449</v>
      </c>
      <c r="K320" t="s">
        <v>43</v>
      </c>
    </row>
    <row r="321" spans="1:11" x14ac:dyDescent="0.3">
      <c r="A321" t="s">
        <v>671</v>
      </c>
      <c r="B321" t="s">
        <v>672</v>
      </c>
      <c r="C321" t="s">
        <v>12</v>
      </c>
      <c r="D321">
        <v>62</v>
      </c>
      <c r="E321" s="20" t="str">
        <f t="shared" si="4"/>
        <v>60+</v>
      </c>
      <c r="F321" t="s">
        <v>48</v>
      </c>
      <c r="G321">
        <v>3</v>
      </c>
      <c r="H321">
        <v>1800.51</v>
      </c>
      <c r="I321" t="s">
        <v>14</v>
      </c>
      <c r="J321" s="1">
        <v>44660</v>
      </c>
      <c r="K321" t="s">
        <v>84</v>
      </c>
    </row>
    <row r="322" spans="1:11" x14ac:dyDescent="0.3">
      <c r="A322" t="s">
        <v>673</v>
      </c>
      <c r="B322" t="s">
        <v>674</v>
      </c>
      <c r="C322" t="s">
        <v>22</v>
      </c>
      <c r="D322">
        <v>56</v>
      </c>
      <c r="E322" s="20" t="str">
        <f t="shared" si="4"/>
        <v>46-60</v>
      </c>
      <c r="F322" t="s">
        <v>13</v>
      </c>
      <c r="G322">
        <v>2</v>
      </c>
      <c r="H322">
        <v>600.16</v>
      </c>
      <c r="I322" t="s">
        <v>23</v>
      </c>
      <c r="J322" s="1">
        <v>44627</v>
      </c>
      <c r="K322" t="s">
        <v>15</v>
      </c>
    </row>
    <row r="323" spans="1:11" x14ac:dyDescent="0.3">
      <c r="A323" t="s">
        <v>675</v>
      </c>
      <c r="B323" t="s">
        <v>676</v>
      </c>
      <c r="C323" t="s">
        <v>22</v>
      </c>
      <c r="D323">
        <v>40</v>
      </c>
      <c r="E323" s="20" t="str">
        <f t="shared" ref="E323:E386" si="5">IF(D323&lt;18,"Below 18",IF(D323&lt;=25,"18-25",IF(D323&lt;=35,"26-35",IF(D323&lt;=45,"36-45",IF(D323&lt;=60,"46-60","60+")))))</f>
        <v>36-45</v>
      </c>
      <c r="F323" t="s">
        <v>48</v>
      </c>
      <c r="G323">
        <v>5</v>
      </c>
      <c r="H323">
        <v>3000.85</v>
      </c>
      <c r="I323" t="s">
        <v>14</v>
      </c>
      <c r="J323" s="1">
        <v>44766</v>
      </c>
      <c r="K323" t="s">
        <v>24</v>
      </c>
    </row>
    <row r="324" spans="1:11" x14ac:dyDescent="0.3">
      <c r="A324" t="s">
        <v>677</v>
      </c>
      <c r="B324" t="s">
        <v>678</v>
      </c>
      <c r="C324" t="s">
        <v>22</v>
      </c>
      <c r="D324">
        <v>26</v>
      </c>
      <c r="E324" s="20" t="str">
        <f t="shared" si="5"/>
        <v>26-35</v>
      </c>
      <c r="F324" t="s">
        <v>37</v>
      </c>
      <c r="G324">
        <v>1</v>
      </c>
      <c r="H324">
        <v>5.23</v>
      </c>
      <c r="I324" t="s">
        <v>23</v>
      </c>
      <c r="J324" s="1">
        <v>44915</v>
      </c>
      <c r="K324" t="s">
        <v>53</v>
      </c>
    </row>
    <row r="325" spans="1:11" x14ac:dyDescent="0.3">
      <c r="A325" t="s">
        <v>679</v>
      </c>
      <c r="B325" t="s">
        <v>680</v>
      </c>
      <c r="C325" t="s">
        <v>22</v>
      </c>
      <c r="D325">
        <v>25</v>
      </c>
      <c r="E325" s="20" t="str">
        <f t="shared" si="5"/>
        <v>18-25</v>
      </c>
      <c r="F325" t="s">
        <v>59</v>
      </c>
      <c r="G325">
        <v>3</v>
      </c>
      <c r="H325">
        <v>107.52</v>
      </c>
      <c r="I325" t="s">
        <v>28</v>
      </c>
      <c r="J325" s="1">
        <v>44460</v>
      </c>
      <c r="K325" t="s">
        <v>43</v>
      </c>
    </row>
    <row r="326" spans="1:11" x14ac:dyDescent="0.3">
      <c r="A326" t="s">
        <v>681</v>
      </c>
      <c r="B326" t="s">
        <v>682</v>
      </c>
      <c r="C326" t="s">
        <v>22</v>
      </c>
      <c r="D326">
        <v>52</v>
      </c>
      <c r="E326" s="20" t="str">
        <f t="shared" si="5"/>
        <v>46-60</v>
      </c>
      <c r="F326" t="s">
        <v>18</v>
      </c>
      <c r="G326">
        <v>4</v>
      </c>
      <c r="H326">
        <v>162.63999999999999</v>
      </c>
      <c r="I326" t="s">
        <v>28</v>
      </c>
      <c r="J326" s="1">
        <v>44518</v>
      </c>
      <c r="K326" t="s">
        <v>60</v>
      </c>
    </row>
    <row r="327" spans="1:11" x14ac:dyDescent="0.3">
      <c r="A327" t="s">
        <v>683</v>
      </c>
      <c r="B327" t="s">
        <v>684</v>
      </c>
      <c r="C327" t="s">
        <v>12</v>
      </c>
      <c r="D327">
        <v>19</v>
      </c>
      <c r="E327" s="20" t="str">
        <f t="shared" si="5"/>
        <v>18-25</v>
      </c>
      <c r="F327" t="s">
        <v>59</v>
      </c>
      <c r="G327">
        <v>5</v>
      </c>
      <c r="H327">
        <v>179.2</v>
      </c>
      <c r="I327" t="s">
        <v>14</v>
      </c>
      <c r="J327" s="1">
        <v>44618</v>
      </c>
      <c r="K327" t="s">
        <v>34</v>
      </c>
    </row>
    <row r="328" spans="1:11" x14ac:dyDescent="0.3">
      <c r="A328" t="s">
        <v>685</v>
      </c>
      <c r="B328" t="s">
        <v>686</v>
      </c>
      <c r="C328" t="s">
        <v>22</v>
      </c>
      <c r="D328">
        <v>30</v>
      </c>
      <c r="E328" s="20" t="str">
        <f t="shared" si="5"/>
        <v>26-35</v>
      </c>
      <c r="F328" t="s">
        <v>56</v>
      </c>
      <c r="G328">
        <v>2</v>
      </c>
      <c r="H328">
        <v>23.46</v>
      </c>
      <c r="I328" t="s">
        <v>14</v>
      </c>
      <c r="J328" s="1">
        <v>44446</v>
      </c>
      <c r="K328" t="s">
        <v>53</v>
      </c>
    </row>
    <row r="329" spans="1:11" x14ac:dyDescent="0.3">
      <c r="A329" t="s">
        <v>687</v>
      </c>
      <c r="B329" t="s">
        <v>688</v>
      </c>
      <c r="C329" t="s">
        <v>22</v>
      </c>
      <c r="D329">
        <v>42</v>
      </c>
      <c r="E329" s="20" t="str">
        <f t="shared" si="5"/>
        <v>36-45</v>
      </c>
      <c r="F329" t="s">
        <v>31</v>
      </c>
      <c r="G329">
        <v>2</v>
      </c>
      <c r="H329">
        <v>2100</v>
      </c>
      <c r="I329" t="s">
        <v>23</v>
      </c>
      <c r="J329" s="1">
        <v>44379</v>
      </c>
      <c r="K329" t="s">
        <v>73</v>
      </c>
    </row>
    <row r="330" spans="1:11" x14ac:dyDescent="0.3">
      <c r="A330" t="s">
        <v>689</v>
      </c>
      <c r="B330" t="s">
        <v>690</v>
      </c>
      <c r="C330" t="s">
        <v>22</v>
      </c>
      <c r="D330">
        <v>32</v>
      </c>
      <c r="E330" s="20" t="str">
        <f t="shared" si="5"/>
        <v>26-35</v>
      </c>
      <c r="F330" t="s">
        <v>13</v>
      </c>
      <c r="G330">
        <v>1</v>
      </c>
      <c r="H330">
        <v>300.08</v>
      </c>
      <c r="I330" t="s">
        <v>28</v>
      </c>
      <c r="J330" s="1">
        <v>44896</v>
      </c>
      <c r="K330" t="s">
        <v>73</v>
      </c>
    </row>
    <row r="331" spans="1:11" x14ac:dyDescent="0.3">
      <c r="A331" t="s">
        <v>691</v>
      </c>
      <c r="B331" t="s">
        <v>692</v>
      </c>
      <c r="C331" t="s">
        <v>12</v>
      </c>
      <c r="D331">
        <v>19</v>
      </c>
      <c r="E331" s="20" t="str">
        <f t="shared" si="5"/>
        <v>18-25</v>
      </c>
      <c r="F331" t="s">
        <v>13</v>
      </c>
      <c r="G331">
        <v>2</v>
      </c>
      <c r="H331">
        <v>600.16</v>
      </c>
      <c r="I331" t="s">
        <v>14</v>
      </c>
      <c r="J331" s="1">
        <v>44810</v>
      </c>
      <c r="K331" t="s">
        <v>34</v>
      </c>
    </row>
    <row r="332" spans="1:11" x14ac:dyDescent="0.3">
      <c r="A332" t="s">
        <v>693</v>
      </c>
      <c r="B332" t="s">
        <v>694</v>
      </c>
      <c r="C332" t="s">
        <v>12</v>
      </c>
      <c r="D332">
        <v>59</v>
      </c>
      <c r="E332" s="20" t="str">
        <f t="shared" si="5"/>
        <v>46-60</v>
      </c>
      <c r="F332" t="s">
        <v>48</v>
      </c>
      <c r="G332">
        <v>3</v>
      </c>
      <c r="H332">
        <v>1800.51</v>
      </c>
      <c r="I332" t="s">
        <v>28</v>
      </c>
      <c r="J332" s="1">
        <v>44360</v>
      </c>
      <c r="K332" t="s">
        <v>24</v>
      </c>
    </row>
    <row r="333" spans="1:11" x14ac:dyDescent="0.3">
      <c r="A333" t="s">
        <v>695</v>
      </c>
      <c r="B333" t="s">
        <v>696</v>
      </c>
      <c r="C333" t="s">
        <v>12</v>
      </c>
      <c r="D333">
        <v>66</v>
      </c>
      <c r="E333" s="20" t="str">
        <f t="shared" si="5"/>
        <v>60+</v>
      </c>
      <c r="F333" t="s">
        <v>31</v>
      </c>
      <c r="G333">
        <v>3</v>
      </c>
      <c r="H333">
        <v>3150</v>
      </c>
      <c r="I333" t="s">
        <v>23</v>
      </c>
      <c r="J333" s="1">
        <v>44737</v>
      </c>
      <c r="K333" t="s">
        <v>43</v>
      </c>
    </row>
    <row r="334" spans="1:11" x14ac:dyDescent="0.3">
      <c r="A334" t="s">
        <v>697</v>
      </c>
      <c r="B334" t="s">
        <v>698</v>
      </c>
      <c r="C334" t="s">
        <v>22</v>
      </c>
      <c r="D334">
        <v>44</v>
      </c>
      <c r="E334" s="20" t="str">
        <f t="shared" si="5"/>
        <v>36-45</v>
      </c>
      <c r="F334" t="s">
        <v>13</v>
      </c>
      <c r="G334">
        <v>5</v>
      </c>
      <c r="H334">
        <v>1500.4</v>
      </c>
      <c r="I334" t="s">
        <v>14</v>
      </c>
      <c r="J334" s="1">
        <v>44433</v>
      </c>
      <c r="K334" t="s">
        <v>24</v>
      </c>
    </row>
    <row r="335" spans="1:11" x14ac:dyDescent="0.3">
      <c r="A335" t="s">
        <v>699</v>
      </c>
      <c r="B335" t="s">
        <v>700</v>
      </c>
      <c r="C335" t="s">
        <v>22</v>
      </c>
      <c r="D335">
        <v>54</v>
      </c>
      <c r="E335" s="20" t="str">
        <f t="shared" si="5"/>
        <v>46-60</v>
      </c>
      <c r="F335" t="s">
        <v>13</v>
      </c>
      <c r="G335">
        <v>2</v>
      </c>
      <c r="H335">
        <v>600.16</v>
      </c>
      <c r="I335" t="s">
        <v>28</v>
      </c>
      <c r="J335" s="1">
        <v>44516</v>
      </c>
      <c r="K335" t="s">
        <v>34</v>
      </c>
    </row>
    <row r="336" spans="1:11" x14ac:dyDescent="0.3">
      <c r="A336" t="s">
        <v>701</v>
      </c>
      <c r="B336" t="s">
        <v>702</v>
      </c>
      <c r="C336" t="s">
        <v>22</v>
      </c>
      <c r="D336">
        <v>18</v>
      </c>
      <c r="E336" s="20" t="str">
        <f t="shared" si="5"/>
        <v>18-25</v>
      </c>
      <c r="F336" t="s">
        <v>31</v>
      </c>
      <c r="G336">
        <v>1</v>
      </c>
      <c r="H336">
        <v>1050</v>
      </c>
      <c r="I336" t="s">
        <v>28</v>
      </c>
      <c r="J336" s="1">
        <v>44672</v>
      </c>
      <c r="K336" t="s">
        <v>43</v>
      </c>
    </row>
    <row r="337" spans="1:11" x14ac:dyDescent="0.3">
      <c r="A337" t="s">
        <v>703</v>
      </c>
      <c r="B337" t="s">
        <v>704</v>
      </c>
      <c r="C337" t="s">
        <v>22</v>
      </c>
      <c r="D337">
        <v>57</v>
      </c>
      <c r="E337" s="20" t="str">
        <f t="shared" si="5"/>
        <v>46-60</v>
      </c>
      <c r="F337" t="s">
        <v>13</v>
      </c>
      <c r="G337">
        <v>3</v>
      </c>
      <c r="H337">
        <v>900.24</v>
      </c>
      <c r="I337" t="s">
        <v>23</v>
      </c>
      <c r="J337" s="1">
        <v>44231</v>
      </c>
      <c r="K337" t="s">
        <v>43</v>
      </c>
    </row>
    <row r="338" spans="1:11" x14ac:dyDescent="0.3">
      <c r="A338" t="s">
        <v>705</v>
      </c>
      <c r="B338" t="s">
        <v>706</v>
      </c>
      <c r="C338" t="s">
        <v>22</v>
      </c>
      <c r="D338">
        <v>26</v>
      </c>
      <c r="E338" s="20" t="str">
        <f t="shared" si="5"/>
        <v>26-35</v>
      </c>
      <c r="F338" t="s">
        <v>37</v>
      </c>
      <c r="G338">
        <v>1</v>
      </c>
      <c r="H338">
        <v>5.23</v>
      </c>
      <c r="I338" t="s">
        <v>14</v>
      </c>
      <c r="J338" s="1">
        <v>44852</v>
      </c>
      <c r="K338" t="s">
        <v>43</v>
      </c>
    </row>
    <row r="339" spans="1:11" x14ac:dyDescent="0.3">
      <c r="A339" t="s">
        <v>707</v>
      </c>
      <c r="B339" t="s">
        <v>708</v>
      </c>
      <c r="C339" t="s">
        <v>22</v>
      </c>
      <c r="D339">
        <v>45</v>
      </c>
      <c r="E339" s="20" t="str">
        <f t="shared" si="5"/>
        <v>36-45</v>
      </c>
      <c r="F339" t="s">
        <v>48</v>
      </c>
      <c r="G339">
        <v>4</v>
      </c>
      <c r="H339">
        <v>2400.6799999999998</v>
      </c>
      <c r="I339" t="s">
        <v>23</v>
      </c>
      <c r="J339" s="1">
        <v>44604</v>
      </c>
      <c r="K339" t="s">
        <v>43</v>
      </c>
    </row>
    <row r="340" spans="1:11" x14ac:dyDescent="0.3">
      <c r="A340" t="s">
        <v>709</v>
      </c>
      <c r="B340" t="s">
        <v>710</v>
      </c>
      <c r="C340" t="s">
        <v>22</v>
      </c>
      <c r="D340">
        <v>28</v>
      </c>
      <c r="E340" s="20" t="str">
        <f t="shared" si="5"/>
        <v>26-35</v>
      </c>
      <c r="F340" t="s">
        <v>59</v>
      </c>
      <c r="G340">
        <v>5</v>
      </c>
      <c r="H340">
        <v>179.2</v>
      </c>
      <c r="I340" t="s">
        <v>23</v>
      </c>
      <c r="J340" s="1">
        <v>44197</v>
      </c>
      <c r="K340" t="s">
        <v>43</v>
      </c>
    </row>
    <row r="341" spans="1:11" x14ac:dyDescent="0.3">
      <c r="A341" t="s">
        <v>711</v>
      </c>
      <c r="B341" t="s">
        <v>712</v>
      </c>
      <c r="C341" t="s">
        <v>12</v>
      </c>
      <c r="D341">
        <v>39</v>
      </c>
      <c r="E341" s="20" t="str">
        <f t="shared" si="5"/>
        <v>36-45</v>
      </c>
      <c r="F341" t="s">
        <v>13</v>
      </c>
      <c r="G341">
        <v>5</v>
      </c>
      <c r="H341">
        <v>1500.4</v>
      </c>
      <c r="I341" t="s">
        <v>28</v>
      </c>
      <c r="J341" s="1">
        <v>44322</v>
      </c>
      <c r="K341" t="s">
        <v>24</v>
      </c>
    </row>
    <row r="342" spans="1:11" x14ac:dyDescent="0.3">
      <c r="A342" t="s">
        <v>713</v>
      </c>
      <c r="B342" t="s">
        <v>714</v>
      </c>
      <c r="C342" t="s">
        <v>22</v>
      </c>
      <c r="D342">
        <v>43</v>
      </c>
      <c r="E342" s="20" t="str">
        <f t="shared" si="5"/>
        <v>36-45</v>
      </c>
      <c r="F342" t="s">
        <v>13</v>
      </c>
      <c r="G342">
        <v>4</v>
      </c>
      <c r="H342">
        <v>1200.32</v>
      </c>
      <c r="I342" t="s">
        <v>14</v>
      </c>
      <c r="J342" s="1">
        <v>44382</v>
      </c>
      <c r="K342" t="s">
        <v>24</v>
      </c>
    </row>
    <row r="343" spans="1:11" x14ac:dyDescent="0.3">
      <c r="A343" t="s">
        <v>715</v>
      </c>
      <c r="B343" t="s">
        <v>716</v>
      </c>
      <c r="C343" t="s">
        <v>22</v>
      </c>
      <c r="D343">
        <v>45</v>
      </c>
      <c r="E343" s="20" t="str">
        <f t="shared" si="5"/>
        <v>36-45</v>
      </c>
      <c r="F343" t="s">
        <v>48</v>
      </c>
      <c r="G343">
        <v>4</v>
      </c>
      <c r="H343">
        <v>2400.6799999999998</v>
      </c>
      <c r="I343" t="s">
        <v>14</v>
      </c>
      <c r="J343" s="1">
        <v>44475</v>
      </c>
      <c r="K343" t="s">
        <v>53</v>
      </c>
    </row>
    <row r="344" spans="1:11" x14ac:dyDescent="0.3">
      <c r="A344" t="s">
        <v>717</v>
      </c>
      <c r="B344" t="s">
        <v>718</v>
      </c>
      <c r="C344" t="s">
        <v>22</v>
      </c>
      <c r="D344">
        <v>64</v>
      </c>
      <c r="E344" s="20" t="str">
        <f t="shared" si="5"/>
        <v>60+</v>
      </c>
      <c r="F344" t="s">
        <v>48</v>
      </c>
      <c r="G344">
        <v>3</v>
      </c>
      <c r="H344">
        <v>1800.51</v>
      </c>
      <c r="I344" t="s">
        <v>14</v>
      </c>
      <c r="J344" s="1">
        <v>44298</v>
      </c>
      <c r="K344" t="s">
        <v>53</v>
      </c>
    </row>
    <row r="345" spans="1:11" x14ac:dyDescent="0.3">
      <c r="A345" t="s">
        <v>719</v>
      </c>
      <c r="B345" t="s">
        <v>720</v>
      </c>
      <c r="C345" t="s">
        <v>22</v>
      </c>
      <c r="D345">
        <v>30</v>
      </c>
      <c r="E345" s="20" t="str">
        <f t="shared" si="5"/>
        <v>26-35</v>
      </c>
      <c r="F345" t="s">
        <v>18</v>
      </c>
      <c r="G345">
        <v>4</v>
      </c>
      <c r="H345">
        <v>162.63999999999999</v>
      </c>
      <c r="I345" t="s">
        <v>28</v>
      </c>
      <c r="J345" s="1">
        <v>44409</v>
      </c>
      <c r="K345" t="s">
        <v>34</v>
      </c>
    </row>
    <row r="346" spans="1:11" x14ac:dyDescent="0.3">
      <c r="A346" t="s">
        <v>721</v>
      </c>
      <c r="B346" t="s">
        <v>722</v>
      </c>
      <c r="C346" t="s">
        <v>12</v>
      </c>
      <c r="D346">
        <v>45</v>
      </c>
      <c r="E346" s="20" t="str">
        <f t="shared" si="5"/>
        <v>36-45</v>
      </c>
      <c r="F346" t="s">
        <v>37</v>
      </c>
      <c r="G346">
        <v>3</v>
      </c>
      <c r="H346">
        <v>15.69</v>
      </c>
      <c r="I346" t="s">
        <v>14</v>
      </c>
      <c r="J346" s="1">
        <v>44814</v>
      </c>
      <c r="K346" t="s">
        <v>43</v>
      </c>
    </row>
    <row r="347" spans="1:11" x14ac:dyDescent="0.3">
      <c r="A347" t="s">
        <v>723</v>
      </c>
      <c r="B347" t="s">
        <v>724</v>
      </c>
      <c r="C347" t="s">
        <v>22</v>
      </c>
      <c r="D347">
        <v>22</v>
      </c>
      <c r="E347" s="20" t="str">
        <f t="shared" si="5"/>
        <v>18-25</v>
      </c>
      <c r="F347" t="s">
        <v>18</v>
      </c>
      <c r="G347">
        <v>5</v>
      </c>
      <c r="H347">
        <v>203.3</v>
      </c>
      <c r="I347" t="s">
        <v>28</v>
      </c>
      <c r="J347" s="1">
        <v>44795</v>
      </c>
      <c r="K347" t="s">
        <v>60</v>
      </c>
    </row>
    <row r="348" spans="1:11" x14ac:dyDescent="0.3">
      <c r="A348" t="s">
        <v>725</v>
      </c>
      <c r="B348" t="s">
        <v>726</v>
      </c>
      <c r="C348" t="s">
        <v>22</v>
      </c>
      <c r="D348">
        <v>63</v>
      </c>
      <c r="E348" s="20" t="str">
        <f t="shared" si="5"/>
        <v>60+</v>
      </c>
      <c r="F348" t="s">
        <v>13</v>
      </c>
      <c r="G348">
        <v>2</v>
      </c>
      <c r="H348">
        <v>600.16</v>
      </c>
      <c r="I348" t="s">
        <v>14</v>
      </c>
      <c r="J348" s="1">
        <v>44583</v>
      </c>
      <c r="K348" t="s">
        <v>43</v>
      </c>
    </row>
    <row r="349" spans="1:11" x14ac:dyDescent="0.3">
      <c r="A349" t="s">
        <v>727</v>
      </c>
      <c r="B349" t="s">
        <v>728</v>
      </c>
      <c r="C349" t="s">
        <v>12</v>
      </c>
      <c r="D349">
        <v>48</v>
      </c>
      <c r="E349" s="20" t="str">
        <f t="shared" si="5"/>
        <v>46-60</v>
      </c>
      <c r="F349" t="s">
        <v>13</v>
      </c>
      <c r="G349">
        <v>5</v>
      </c>
      <c r="H349">
        <v>1500.4</v>
      </c>
      <c r="I349" t="s">
        <v>28</v>
      </c>
      <c r="J349" s="1">
        <v>44209</v>
      </c>
      <c r="K349" t="s">
        <v>43</v>
      </c>
    </row>
    <row r="350" spans="1:11" x14ac:dyDescent="0.3">
      <c r="A350" t="s">
        <v>729</v>
      </c>
      <c r="B350" t="s">
        <v>730</v>
      </c>
      <c r="C350" t="s">
        <v>22</v>
      </c>
      <c r="D350">
        <v>20</v>
      </c>
      <c r="E350" s="20" t="str">
        <f t="shared" si="5"/>
        <v>18-25</v>
      </c>
      <c r="F350" t="s">
        <v>13</v>
      </c>
      <c r="G350">
        <v>5</v>
      </c>
      <c r="H350">
        <v>1500.4</v>
      </c>
      <c r="I350" t="s">
        <v>28</v>
      </c>
      <c r="J350" s="1">
        <v>44768</v>
      </c>
      <c r="K350" t="s">
        <v>53</v>
      </c>
    </row>
    <row r="351" spans="1:11" x14ac:dyDescent="0.3">
      <c r="A351" t="s">
        <v>731</v>
      </c>
      <c r="B351" t="s">
        <v>732</v>
      </c>
      <c r="C351" t="s">
        <v>12</v>
      </c>
      <c r="D351">
        <v>46</v>
      </c>
      <c r="E351" s="20" t="str">
        <f t="shared" si="5"/>
        <v>46-60</v>
      </c>
      <c r="F351" t="s">
        <v>56</v>
      </c>
      <c r="G351">
        <v>5</v>
      </c>
      <c r="H351">
        <v>58.65</v>
      </c>
      <c r="I351" t="s">
        <v>23</v>
      </c>
      <c r="J351" s="1">
        <v>44617</v>
      </c>
      <c r="K351" t="s">
        <v>24</v>
      </c>
    </row>
    <row r="352" spans="1:11" x14ac:dyDescent="0.3">
      <c r="A352" t="s">
        <v>733</v>
      </c>
      <c r="B352" t="s">
        <v>734</v>
      </c>
      <c r="C352" t="s">
        <v>12</v>
      </c>
      <c r="D352">
        <v>26</v>
      </c>
      <c r="E352" s="20" t="str">
        <f t="shared" si="5"/>
        <v>26-35</v>
      </c>
      <c r="F352" t="s">
        <v>37</v>
      </c>
      <c r="G352">
        <v>2</v>
      </c>
      <c r="H352">
        <v>10.46</v>
      </c>
      <c r="I352" t="s">
        <v>28</v>
      </c>
      <c r="J352" s="1">
        <v>44920</v>
      </c>
      <c r="K352" t="s">
        <v>19</v>
      </c>
    </row>
    <row r="353" spans="1:11" x14ac:dyDescent="0.3">
      <c r="A353" t="s">
        <v>735</v>
      </c>
      <c r="B353" t="s">
        <v>736</v>
      </c>
      <c r="C353" t="s">
        <v>22</v>
      </c>
      <c r="D353">
        <v>26</v>
      </c>
      <c r="E353" s="20" t="str">
        <f t="shared" si="5"/>
        <v>26-35</v>
      </c>
      <c r="F353" t="s">
        <v>18</v>
      </c>
      <c r="G353">
        <v>4</v>
      </c>
      <c r="H353">
        <v>162.63999999999999</v>
      </c>
      <c r="I353" t="s">
        <v>14</v>
      </c>
      <c r="J353" s="1">
        <v>44672</v>
      </c>
      <c r="K353" t="s">
        <v>73</v>
      </c>
    </row>
    <row r="354" spans="1:11" x14ac:dyDescent="0.3">
      <c r="A354" t="s">
        <v>737</v>
      </c>
      <c r="B354" t="s">
        <v>738</v>
      </c>
      <c r="C354" t="s">
        <v>12</v>
      </c>
      <c r="D354">
        <v>30</v>
      </c>
      <c r="E354" s="20" t="str">
        <f t="shared" si="5"/>
        <v>26-35</v>
      </c>
      <c r="F354" t="s">
        <v>13</v>
      </c>
      <c r="G354">
        <v>3</v>
      </c>
      <c r="H354">
        <v>900.24</v>
      </c>
      <c r="I354" t="s">
        <v>14</v>
      </c>
      <c r="J354" s="1">
        <v>44512</v>
      </c>
      <c r="K354" t="s">
        <v>43</v>
      </c>
    </row>
    <row r="355" spans="1:11" x14ac:dyDescent="0.3">
      <c r="A355" t="s">
        <v>739</v>
      </c>
      <c r="B355" t="s">
        <v>740</v>
      </c>
      <c r="C355" t="s">
        <v>12</v>
      </c>
      <c r="D355">
        <v>61</v>
      </c>
      <c r="E355" s="20" t="str">
        <f t="shared" si="5"/>
        <v>60+</v>
      </c>
      <c r="F355" t="s">
        <v>13</v>
      </c>
      <c r="G355">
        <v>4</v>
      </c>
      <c r="H355">
        <v>1200.32</v>
      </c>
      <c r="I355" t="s">
        <v>28</v>
      </c>
      <c r="J355" s="1">
        <v>44382</v>
      </c>
      <c r="K355" t="s">
        <v>34</v>
      </c>
    </row>
    <row r="356" spans="1:11" x14ac:dyDescent="0.3">
      <c r="A356" t="s">
        <v>741</v>
      </c>
      <c r="B356" t="s">
        <v>742</v>
      </c>
      <c r="C356" t="s">
        <v>22</v>
      </c>
      <c r="D356">
        <v>58</v>
      </c>
      <c r="E356" s="20" t="str">
        <f t="shared" si="5"/>
        <v>46-60</v>
      </c>
      <c r="F356" t="s">
        <v>13</v>
      </c>
      <c r="G356">
        <v>5</v>
      </c>
      <c r="H356">
        <v>1500.4</v>
      </c>
      <c r="I356" t="s">
        <v>14</v>
      </c>
      <c r="J356" s="1">
        <v>44720</v>
      </c>
      <c r="K356" t="s">
        <v>60</v>
      </c>
    </row>
    <row r="357" spans="1:11" x14ac:dyDescent="0.3">
      <c r="A357" t="s">
        <v>743</v>
      </c>
      <c r="B357" t="s">
        <v>744</v>
      </c>
      <c r="C357" t="s">
        <v>22</v>
      </c>
      <c r="D357">
        <v>63</v>
      </c>
      <c r="E357" s="20" t="str">
        <f t="shared" si="5"/>
        <v>60+</v>
      </c>
      <c r="F357" t="s">
        <v>13</v>
      </c>
      <c r="G357">
        <v>2</v>
      </c>
      <c r="H357">
        <v>600.16</v>
      </c>
      <c r="I357" t="s">
        <v>14</v>
      </c>
      <c r="J357" s="1">
        <v>44537</v>
      </c>
      <c r="K357" t="s">
        <v>40</v>
      </c>
    </row>
    <row r="358" spans="1:11" x14ac:dyDescent="0.3">
      <c r="A358" t="s">
        <v>745</v>
      </c>
      <c r="B358" t="s">
        <v>746</v>
      </c>
      <c r="C358" t="s">
        <v>22</v>
      </c>
      <c r="D358">
        <v>34</v>
      </c>
      <c r="E358" s="20" t="str">
        <f t="shared" si="5"/>
        <v>26-35</v>
      </c>
      <c r="F358" t="s">
        <v>13</v>
      </c>
      <c r="G358">
        <v>1</v>
      </c>
      <c r="H358">
        <v>300.08</v>
      </c>
      <c r="I358" t="s">
        <v>23</v>
      </c>
      <c r="J358" s="1">
        <v>44794</v>
      </c>
      <c r="K358" t="s">
        <v>43</v>
      </c>
    </row>
    <row r="359" spans="1:11" x14ac:dyDescent="0.3">
      <c r="A359" t="s">
        <v>747</v>
      </c>
      <c r="B359" t="s">
        <v>748</v>
      </c>
      <c r="C359" t="s">
        <v>22</v>
      </c>
      <c r="D359">
        <v>39</v>
      </c>
      <c r="E359" s="20" t="str">
        <f t="shared" si="5"/>
        <v>36-45</v>
      </c>
      <c r="F359" t="s">
        <v>37</v>
      </c>
      <c r="G359">
        <v>5</v>
      </c>
      <c r="H359">
        <v>26.15</v>
      </c>
      <c r="I359" t="s">
        <v>28</v>
      </c>
      <c r="J359" s="1">
        <v>44592</v>
      </c>
      <c r="K359" t="s">
        <v>84</v>
      </c>
    </row>
    <row r="360" spans="1:11" x14ac:dyDescent="0.3">
      <c r="A360" t="s">
        <v>749</v>
      </c>
      <c r="B360" t="s">
        <v>750</v>
      </c>
      <c r="C360" t="s">
        <v>22</v>
      </c>
      <c r="D360">
        <v>64</v>
      </c>
      <c r="E360" s="20" t="str">
        <f t="shared" si="5"/>
        <v>60+</v>
      </c>
      <c r="F360" t="s">
        <v>13</v>
      </c>
      <c r="G360">
        <v>3</v>
      </c>
      <c r="H360">
        <v>900.24</v>
      </c>
      <c r="I360" t="s">
        <v>14</v>
      </c>
      <c r="J360" s="1">
        <v>44462</v>
      </c>
      <c r="K360" t="s">
        <v>24</v>
      </c>
    </row>
    <row r="361" spans="1:11" x14ac:dyDescent="0.3">
      <c r="A361" t="s">
        <v>751</v>
      </c>
      <c r="B361" t="s">
        <v>752</v>
      </c>
      <c r="C361" t="s">
        <v>22</v>
      </c>
      <c r="D361">
        <v>31</v>
      </c>
      <c r="E361" s="20" t="str">
        <f t="shared" si="5"/>
        <v>26-35</v>
      </c>
      <c r="F361" t="s">
        <v>37</v>
      </c>
      <c r="G361">
        <v>1</v>
      </c>
      <c r="H361">
        <v>5.23</v>
      </c>
      <c r="I361" t="s">
        <v>14</v>
      </c>
      <c r="J361" s="1">
        <v>44364</v>
      </c>
      <c r="K361" t="s">
        <v>84</v>
      </c>
    </row>
    <row r="362" spans="1:11" x14ac:dyDescent="0.3">
      <c r="A362" t="s">
        <v>753</v>
      </c>
      <c r="B362" t="s">
        <v>754</v>
      </c>
      <c r="C362" t="s">
        <v>12</v>
      </c>
      <c r="D362">
        <v>25</v>
      </c>
      <c r="E362" s="20" t="str">
        <f t="shared" si="5"/>
        <v>18-25</v>
      </c>
      <c r="F362" t="s">
        <v>37</v>
      </c>
      <c r="G362">
        <v>1</v>
      </c>
      <c r="H362">
        <v>5.23</v>
      </c>
      <c r="I362" t="s">
        <v>14</v>
      </c>
      <c r="J362" s="1">
        <v>44917</v>
      </c>
      <c r="K362" t="s">
        <v>84</v>
      </c>
    </row>
    <row r="363" spans="1:11" x14ac:dyDescent="0.3">
      <c r="A363" t="s">
        <v>755</v>
      </c>
      <c r="B363" t="s">
        <v>756</v>
      </c>
      <c r="C363" t="s">
        <v>22</v>
      </c>
      <c r="D363">
        <v>41</v>
      </c>
      <c r="E363" s="20" t="str">
        <f t="shared" si="5"/>
        <v>36-45</v>
      </c>
      <c r="F363" t="s">
        <v>18</v>
      </c>
      <c r="G363">
        <v>1</v>
      </c>
      <c r="H363">
        <v>40.659999999999997</v>
      </c>
      <c r="I363" t="s">
        <v>23</v>
      </c>
      <c r="J363" s="1">
        <v>44630</v>
      </c>
      <c r="K363" t="s">
        <v>60</v>
      </c>
    </row>
    <row r="364" spans="1:11" x14ac:dyDescent="0.3">
      <c r="A364" t="s">
        <v>757</v>
      </c>
      <c r="B364" t="s">
        <v>758</v>
      </c>
      <c r="C364" t="s">
        <v>22</v>
      </c>
      <c r="D364">
        <v>60</v>
      </c>
      <c r="E364" s="20" t="str">
        <f t="shared" si="5"/>
        <v>46-60</v>
      </c>
      <c r="F364" t="s">
        <v>18</v>
      </c>
      <c r="G364">
        <v>3</v>
      </c>
      <c r="H364">
        <v>121.98</v>
      </c>
      <c r="I364" t="s">
        <v>28</v>
      </c>
      <c r="J364" s="1">
        <v>44701</v>
      </c>
      <c r="K364" t="s">
        <v>84</v>
      </c>
    </row>
    <row r="365" spans="1:11" x14ac:dyDescent="0.3">
      <c r="A365" t="s">
        <v>759</v>
      </c>
      <c r="B365" t="s">
        <v>760</v>
      </c>
      <c r="C365" t="s">
        <v>12</v>
      </c>
      <c r="D365">
        <v>68</v>
      </c>
      <c r="E365" s="20" t="str">
        <f t="shared" si="5"/>
        <v>60+</v>
      </c>
      <c r="F365" t="s">
        <v>56</v>
      </c>
      <c r="G365">
        <v>2</v>
      </c>
      <c r="H365">
        <v>23.46</v>
      </c>
      <c r="I365" t="s">
        <v>14</v>
      </c>
      <c r="J365" s="1">
        <v>44692</v>
      </c>
      <c r="K365" t="s">
        <v>34</v>
      </c>
    </row>
    <row r="366" spans="1:11" x14ac:dyDescent="0.3">
      <c r="A366" t="s">
        <v>761</v>
      </c>
      <c r="B366" t="s">
        <v>762</v>
      </c>
      <c r="C366" t="s">
        <v>22</v>
      </c>
      <c r="D366">
        <v>66</v>
      </c>
      <c r="E366" s="20" t="str">
        <f t="shared" si="5"/>
        <v>60+</v>
      </c>
      <c r="F366" t="s">
        <v>37</v>
      </c>
      <c r="G366">
        <v>1</v>
      </c>
      <c r="H366">
        <v>5.23</v>
      </c>
      <c r="I366" t="s">
        <v>28</v>
      </c>
      <c r="J366" s="1">
        <v>44288</v>
      </c>
      <c r="K366" t="s">
        <v>84</v>
      </c>
    </row>
    <row r="367" spans="1:11" x14ac:dyDescent="0.3">
      <c r="A367" t="s">
        <v>763</v>
      </c>
      <c r="B367" t="s">
        <v>764</v>
      </c>
      <c r="C367" t="s">
        <v>12</v>
      </c>
      <c r="D367">
        <v>66</v>
      </c>
      <c r="E367" s="20" t="str">
        <f t="shared" si="5"/>
        <v>60+</v>
      </c>
      <c r="F367" t="s">
        <v>59</v>
      </c>
      <c r="G367">
        <v>5</v>
      </c>
      <c r="H367">
        <v>179.2</v>
      </c>
      <c r="I367" t="s">
        <v>14</v>
      </c>
      <c r="J367" s="1">
        <v>44515</v>
      </c>
      <c r="K367" t="s">
        <v>53</v>
      </c>
    </row>
    <row r="368" spans="1:11" x14ac:dyDescent="0.3">
      <c r="A368" t="s">
        <v>765</v>
      </c>
      <c r="B368" t="s">
        <v>766</v>
      </c>
      <c r="C368" t="s">
        <v>22</v>
      </c>
      <c r="D368">
        <v>69</v>
      </c>
      <c r="E368" s="20" t="str">
        <f t="shared" si="5"/>
        <v>60+</v>
      </c>
      <c r="F368" t="s">
        <v>37</v>
      </c>
      <c r="G368">
        <v>5</v>
      </c>
      <c r="H368">
        <v>26.15</v>
      </c>
      <c r="I368" t="s">
        <v>28</v>
      </c>
      <c r="J368" s="1">
        <v>44320</v>
      </c>
      <c r="K368" t="s">
        <v>19</v>
      </c>
    </row>
    <row r="369" spans="1:11" x14ac:dyDescent="0.3">
      <c r="A369" t="s">
        <v>767</v>
      </c>
      <c r="B369" t="s">
        <v>768</v>
      </c>
      <c r="C369" t="s">
        <v>12</v>
      </c>
      <c r="D369">
        <v>51</v>
      </c>
      <c r="E369" s="20" t="str">
        <f t="shared" si="5"/>
        <v>46-60</v>
      </c>
      <c r="F369" t="s">
        <v>18</v>
      </c>
      <c r="G369">
        <v>2</v>
      </c>
      <c r="H369">
        <v>81.319999999999993</v>
      </c>
      <c r="I369" t="s">
        <v>28</v>
      </c>
      <c r="J369" s="1">
        <v>44732</v>
      </c>
      <c r="K369" t="s">
        <v>53</v>
      </c>
    </row>
    <row r="370" spans="1:11" x14ac:dyDescent="0.3">
      <c r="A370" t="s">
        <v>769</v>
      </c>
      <c r="B370" t="s">
        <v>770</v>
      </c>
      <c r="C370" t="s">
        <v>22</v>
      </c>
      <c r="D370">
        <v>42</v>
      </c>
      <c r="E370" s="20" t="str">
        <f t="shared" si="5"/>
        <v>36-45</v>
      </c>
      <c r="F370" t="s">
        <v>27</v>
      </c>
      <c r="G370">
        <v>4</v>
      </c>
      <c r="H370">
        <v>60.6</v>
      </c>
      <c r="I370" t="s">
        <v>14</v>
      </c>
      <c r="J370" s="1">
        <v>44779</v>
      </c>
      <c r="K370" t="s">
        <v>24</v>
      </c>
    </row>
    <row r="371" spans="1:11" x14ac:dyDescent="0.3">
      <c r="A371" t="s">
        <v>771</v>
      </c>
      <c r="B371" t="s">
        <v>772</v>
      </c>
      <c r="C371" t="s">
        <v>22</v>
      </c>
      <c r="D371">
        <v>20</v>
      </c>
      <c r="E371" s="20" t="str">
        <f t="shared" si="5"/>
        <v>18-25</v>
      </c>
      <c r="F371" t="s">
        <v>13</v>
      </c>
      <c r="G371">
        <v>5</v>
      </c>
      <c r="H371">
        <v>1500.4</v>
      </c>
      <c r="I371" t="s">
        <v>28</v>
      </c>
      <c r="J371" s="1">
        <v>44746</v>
      </c>
      <c r="K371" t="s">
        <v>40</v>
      </c>
    </row>
    <row r="372" spans="1:11" x14ac:dyDescent="0.3">
      <c r="A372" t="s">
        <v>773</v>
      </c>
      <c r="B372" t="s">
        <v>774</v>
      </c>
      <c r="C372" t="s">
        <v>22</v>
      </c>
      <c r="D372">
        <v>40</v>
      </c>
      <c r="E372" s="20" t="str">
        <f t="shared" si="5"/>
        <v>36-45</v>
      </c>
      <c r="F372" t="s">
        <v>13</v>
      </c>
      <c r="G372">
        <v>2</v>
      </c>
      <c r="H372">
        <v>600.16</v>
      </c>
      <c r="I372" t="s">
        <v>28</v>
      </c>
      <c r="J372" s="1">
        <v>44266</v>
      </c>
      <c r="K372" t="s">
        <v>19</v>
      </c>
    </row>
    <row r="373" spans="1:11" x14ac:dyDescent="0.3">
      <c r="A373" t="s">
        <v>775</v>
      </c>
      <c r="B373" t="s">
        <v>776</v>
      </c>
      <c r="C373" t="s">
        <v>22</v>
      </c>
      <c r="D373">
        <v>52</v>
      </c>
      <c r="E373" s="20" t="str">
        <f t="shared" si="5"/>
        <v>46-60</v>
      </c>
      <c r="F373" t="s">
        <v>27</v>
      </c>
      <c r="G373">
        <v>1</v>
      </c>
      <c r="H373">
        <v>15.15</v>
      </c>
      <c r="I373" t="s">
        <v>28</v>
      </c>
      <c r="J373" s="1">
        <v>44681</v>
      </c>
      <c r="K373" t="s">
        <v>43</v>
      </c>
    </row>
    <row r="374" spans="1:11" x14ac:dyDescent="0.3">
      <c r="A374" t="s">
        <v>777</v>
      </c>
      <c r="B374" t="s">
        <v>778</v>
      </c>
      <c r="C374" t="s">
        <v>12</v>
      </c>
      <c r="D374">
        <v>67</v>
      </c>
      <c r="E374" s="20" t="str">
        <f t="shared" si="5"/>
        <v>60+</v>
      </c>
      <c r="F374" t="s">
        <v>56</v>
      </c>
      <c r="G374">
        <v>4</v>
      </c>
      <c r="H374">
        <v>46.92</v>
      </c>
      <c r="I374" t="s">
        <v>14</v>
      </c>
      <c r="J374" s="1">
        <v>44840</v>
      </c>
      <c r="K374" t="s">
        <v>60</v>
      </c>
    </row>
    <row r="375" spans="1:11" x14ac:dyDescent="0.3">
      <c r="A375" t="s">
        <v>779</v>
      </c>
      <c r="B375" t="s">
        <v>780</v>
      </c>
      <c r="C375" t="s">
        <v>22</v>
      </c>
      <c r="D375">
        <v>19</v>
      </c>
      <c r="E375" s="20" t="str">
        <f t="shared" si="5"/>
        <v>18-25</v>
      </c>
      <c r="F375" t="s">
        <v>37</v>
      </c>
      <c r="G375">
        <v>3</v>
      </c>
      <c r="H375">
        <v>15.69</v>
      </c>
      <c r="I375" t="s">
        <v>14</v>
      </c>
      <c r="J375" s="1">
        <v>44747</v>
      </c>
      <c r="K375" t="s">
        <v>43</v>
      </c>
    </row>
    <row r="376" spans="1:11" x14ac:dyDescent="0.3">
      <c r="A376" t="s">
        <v>781</v>
      </c>
      <c r="B376" t="s">
        <v>782</v>
      </c>
      <c r="C376" t="s">
        <v>22</v>
      </c>
      <c r="D376">
        <v>65</v>
      </c>
      <c r="E376" s="20" t="str">
        <f t="shared" si="5"/>
        <v>60+</v>
      </c>
      <c r="F376" t="s">
        <v>13</v>
      </c>
      <c r="G376">
        <v>3</v>
      </c>
      <c r="H376">
        <v>900.24</v>
      </c>
      <c r="I376" t="s">
        <v>28</v>
      </c>
      <c r="J376" s="1">
        <v>44237</v>
      </c>
      <c r="K376" t="s">
        <v>24</v>
      </c>
    </row>
    <row r="377" spans="1:11" x14ac:dyDescent="0.3">
      <c r="A377" t="s">
        <v>783</v>
      </c>
      <c r="B377" t="s">
        <v>784</v>
      </c>
      <c r="C377" t="s">
        <v>22</v>
      </c>
      <c r="D377">
        <v>25</v>
      </c>
      <c r="E377" s="20" t="str">
        <f t="shared" si="5"/>
        <v>18-25</v>
      </c>
      <c r="F377" t="s">
        <v>31</v>
      </c>
      <c r="G377">
        <v>2</v>
      </c>
      <c r="H377">
        <v>2100</v>
      </c>
      <c r="I377" t="s">
        <v>28</v>
      </c>
      <c r="J377" s="1">
        <v>44269</v>
      </c>
      <c r="K377" t="s">
        <v>34</v>
      </c>
    </row>
    <row r="378" spans="1:11" x14ac:dyDescent="0.3">
      <c r="A378" t="s">
        <v>785</v>
      </c>
      <c r="B378" t="s">
        <v>786</v>
      </c>
      <c r="C378" t="s">
        <v>12</v>
      </c>
      <c r="D378">
        <v>35</v>
      </c>
      <c r="E378" s="20" t="str">
        <f t="shared" si="5"/>
        <v>26-35</v>
      </c>
      <c r="F378" t="s">
        <v>13</v>
      </c>
      <c r="G378">
        <v>3</v>
      </c>
      <c r="H378">
        <v>900.24</v>
      </c>
      <c r="I378" t="s">
        <v>28</v>
      </c>
      <c r="J378" s="1">
        <v>44252</v>
      </c>
      <c r="K378" t="s">
        <v>24</v>
      </c>
    </row>
    <row r="379" spans="1:11" x14ac:dyDescent="0.3">
      <c r="A379" t="s">
        <v>787</v>
      </c>
      <c r="B379" t="s">
        <v>788</v>
      </c>
      <c r="C379" t="s">
        <v>22</v>
      </c>
      <c r="D379">
        <v>23</v>
      </c>
      <c r="E379" s="20" t="str">
        <f t="shared" si="5"/>
        <v>18-25</v>
      </c>
      <c r="F379" t="s">
        <v>59</v>
      </c>
      <c r="G379">
        <v>2</v>
      </c>
      <c r="H379">
        <v>71.680000000000007</v>
      </c>
      <c r="I379" t="s">
        <v>28</v>
      </c>
      <c r="J379" s="1">
        <v>44217</v>
      </c>
      <c r="K379" t="s">
        <v>53</v>
      </c>
    </row>
    <row r="380" spans="1:11" x14ac:dyDescent="0.3">
      <c r="A380" t="s">
        <v>789</v>
      </c>
      <c r="B380" t="s">
        <v>790</v>
      </c>
      <c r="C380" t="s">
        <v>22</v>
      </c>
      <c r="D380">
        <v>66</v>
      </c>
      <c r="E380" s="20" t="str">
        <f t="shared" si="5"/>
        <v>60+</v>
      </c>
      <c r="F380" t="s">
        <v>37</v>
      </c>
      <c r="G380">
        <v>2</v>
      </c>
      <c r="H380">
        <v>10.46</v>
      </c>
      <c r="I380" t="s">
        <v>14</v>
      </c>
      <c r="J380" s="1">
        <v>44541</v>
      </c>
      <c r="K380" t="s">
        <v>73</v>
      </c>
    </row>
    <row r="381" spans="1:11" x14ac:dyDescent="0.3">
      <c r="A381" t="s">
        <v>791</v>
      </c>
      <c r="B381" t="s">
        <v>792</v>
      </c>
      <c r="C381" t="s">
        <v>12</v>
      </c>
      <c r="D381">
        <v>50</v>
      </c>
      <c r="E381" s="20" t="str">
        <f t="shared" si="5"/>
        <v>46-60</v>
      </c>
      <c r="F381" t="s">
        <v>13</v>
      </c>
      <c r="G381">
        <v>2</v>
      </c>
      <c r="H381">
        <v>600.16</v>
      </c>
      <c r="I381" t="s">
        <v>28</v>
      </c>
      <c r="J381" s="1">
        <v>44738</v>
      </c>
      <c r="K381" t="s">
        <v>24</v>
      </c>
    </row>
    <row r="382" spans="1:11" x14ac:dyDescent="0.3">
      <c r="A382" t="s">
        <v>793</v>
      </c>
      <c r="B382" t="s">
        <v>794</v>
      </c>
      <c r="C382" t="s">
        <v>12</v>
      </c>
      <c r="D382">
        <v>69</v>
      </c>
      <c r="E382" s="20" t="str">
        <f t="shared" si="5"/>
        <v>60+</v>
      </c>
      <c r="F382" t="s">
        <v>37</v>
      </c>
      <c r="G382">
        <v>4</v>
      </c>
      <c r="H382">
        <v>20.92</v>
      </c>
      <c r="I382" t="s">
        <v>28</v>
      </c>
      <c r="J382" s="1">
        <v>44907</v>
      </c>
      <c r="K382" t="s">
        <v>24</v>
      </c>
    </row>
    <row r="383" spans="1:11" x14ac:dyDescent="0.3">
      <c r="A383" t="s">
        <v>795</v>
      </c>
      <c r="B383" t="s">
        <v>796</v>
      </c>
      <c r="C383" t="s">
        <v>22</v>
      </c>
      <c r="D383">
        <v>48</v>
      </c>
      <c r="E383" s="20" t="str">
        <f t="shared" si="5"/>
        <v>46-60</v>
      </c>
      <c r="F383" t="s">
        <v>31</v>
      </c>
      <c r="G383">
        <v>3</v>
      </c>
      <c r="H383">
        <v>3150</v>
      </c>
      <c r="I383" t="s">
        <v>14</v>
      </c>
      <c r="J383" s="1">
        <v>44734</v>
      </c>
      <c r="K383" t="s">
        <v>60</v>
      </c>
    </row>
    <row r="384" spans="1:11" x14ac:dyDescent="0.3">
      <c r="A384" t="s">
        <v>797</v>
      </c>
      <c r="B384" t="s">
        <v>798</v>
      </c>
      <c r="C384" t="s">
        <v>22</v>
      </c>
      <c r="D384">
        <v>39</v>
      </c>
      <c r="E384" s="20" t="str">
        <f t="shared" si="5"/>
        <v>36-45</v>
      </c>
      <c r="F384" t="s">
        <v>13</v>
      </c>
      <c r="G384">
        <v>2</v>
      </c>
      <c r="H384">
        <v>600.16</v>
      </c>
      <c r="I384" t="s">
        <v>28</v>
      </c>
      <c r="J384" s="1">
        <v>44646</v>
      </c>
      <c r="K384" t="s">
        <v>24</v>
      </c>
    </row>
    <row r="385" spans="1:11" x14ac:dyDescent="0.3">
      <c r="A385" t="s">
        <v>799</v>
      </c>
      <c r="B385" t="s">
        <v>800</v>
      </c>
      <c r="C385" t="s">
        <v>12</v>
      </c>
      <c r="D385">
        <v>50</v>
      </c>
      <c r="E385" s="20" t="str">
        <f t="shared" si="5"/>
        <v>46-60</v>
      </c>
      <c r="F385" t="s">
        <v>13</v>
      </c>
      <c r="G385">
        <v>4</v>
      </c>
      <c r="H385">
        <v>1200.32</v>
      </c>
      <c r="I385" t="s">
        <v>23</v>
      </c>
      <c r="J385" s="1">
        <v>44622</v>
      </c>
      <c r="K385" t="s">
        <v>15</v>
      </c>
    </row>
    <row r="386" spans="1:11" x14ac:dyDescent="0.3">
      <c r="A386" t="s">
        <v>801</v>
      </c>
      <c r="B386" t="s">
        <v>802</v>
      </c>
      <c r="C386" t="s">
        <v>22</v>
      </c>
      <c r="D386">
        <v>50</v>
      </c>
      <c r="E386" s="20" t="str">
        <f t="shared" si="5"/>
        <v>46-60</v>
      </c>
      <c r="F386" t="s">
        <v>13</v>
      </c>
      <c r="G386">
        <v>3</v>
      </c>
      <c r="H386">
        <v>900.24</v>
      </c>
      <c r="I386" t="s">
        <v>14</v>
      </c>
      <c r="J386" s="1">
        <v>44742</v>
      </c>
      <c r="K386" t="s">
        <v>19</v>
      </c>
    </row>
    <row r="387" spans="1:11" x14ac:dyDescent="0.3">
      <c r="A387" t="s">
        <v>803</v>
      </c>
      <c r="B387" t="s">
        <v>804</v>
      </c>
      <c r="C387" t="s">
        <v>22</v>
      </c>
      <c r="D387">
        <v>48</v>
      </c>
      <c r="E387" s="20" t="str">
        <f t="shared" ref="E387:E450" si="6">IF(D387&lt;18,"Below 18",IF(D387&lt;=25,"18-25",IF(D387&lt;=35,"26-35",IF(D387&lt;=45,"36-45",IF(D387&lt;=60,"46-60","60+")))))</f>
        <v>46-60</v>
      </c>
      <c r="F387" t="s">
        <v>37</v>
      </c>
      <c r="G387">
        <v>1</v>
      </c>
      <c r="H387">
        <v>5.23</v>
      </c>
      <c r="I387" t="s">
        <v>28</v>
      </c>
      <c r="J387" s="1">
        <v>44731</v>
      </c>
      <c r="K387" t="s">
        <v>34</v>
      </c>
    </row>
    <row r="388" spans="1:11" x14ac:dyDescent="0.3">
      <c r="A388" t="s">
        <v>805</v>
      </c>
      <c r="B388" t="s">
        <v>806</v>
      </c>
      <c r="C388" t="s">
        <v>12</v>
      </c>
      <c r="D388">
        <v>36</v>
      </c>
      <c r="E388" s="20" t="str">
        <f t="shared" si="6"/>
        <v>36-45</v>
      </c>
      <c r="F388" t="s">
        <v>37</v>
      </c>
      <c r="G388">
        <v>1</v>
      </c>
      <c r="H388">
        <v>5.23</v>
      </c>
      <c r="I388" t="s">
        <v>14</v>
      </c>
      <c r="J388" s="1">
        <v>44766</v>
      </c>
      <c r="K388" t="s">
        <v>43</v>
      </c>
    </row>
    <row r="389" spans="1:11" x14ac:dyDescent="0.3">
      <c r="A389" t="s">
        <v>807</v>
      </c>
      <c r="B389" t="s">
        <v>808</v>
      </c>
      <c r="C389" t="s">
        <v>22</v>
      </c>
      <c r="D389">
        <v>31</v>
      </c>
      <c r="E389" s="20" t="str">
        <f t="shared" si="6"/>
        <v>26-35</v>
      </c>
      <c r="F389" t="s">
        <v>56</v>
      </c>
      <c r="G389">
        <v>4</v>
      </c>
      <c r="H389">
        <v>46.92</v>
      </c>
      <c r="I389" t="s">
        <v>28</v>
      </c>
      <c r="J389" s="1">
        <v>44970</v>
      </c>
      <c r="K389" t="s">
        <v>24</v>
      </c>
    </row>
    <row r="390" spans="1:11" x14ac:dyDescent="0.3">
      <c r="A390" t="s">
        <v>809</v>
      </c>
      <c r="B390" t="s">
        <v>810</v>
      </c>
      <c r="C390" t="s">
        <v>22</v>
      </c>
      <c r="D390">
        <v>41</v>
      </c>
      <c r="E390" s="20" t="str">
        <f t="shared" si="6"/>
        <v>36-45</v>
      </c>
      <c r="F390" t="s">
        <v>18</v>
      </c>
      <c r="G390">
        <v>2</v>
      </c>
      <c r="H390">
        <v>81.319999999999993</v>
      </c>
      <c r="I390" t="s">
        <v>23</v>
      </c>
      <c r="J390" s="1">
        <v>44940</v>
      </c>
      <c r="K390" t="s">
        <v>84</v>
      </c>
    </row>
    <row r="391" spans="1:11" x14ac:dyDescent="0.3">
      <c r="A391" t="s">
        <v>811</v>
      </c>
      <c r="B391" t="s">
        <v>812</v>
      </c>
      <c r="C391" t="s">
        <v>12</v>
      </c>
      <c r="D391">
        <v>39</v>
      </c>
      <c r="E391" s="20" t="str">
        <f t="shared" si="6"/>
        <v>36-45</v>
      </c>
      <c r="F391" t="s">
        <v>37</v>
      </c>
      <c r="G391">
        <v>5</v>
      </c>
      <c r="H391">
        <v>26.15</v>
      </c>
      <c r="I391" t="s">
        <v>28</v>
      </c>
      <c r="J391" s="1">
        <v>44907</v>
      </c>
      <c r="K391" t="s">
        <v>43</v>
      </c>
    </row>
    <row r="392" spans="1:11" x14ac:dyDescent="0.3">
      <c r="A392" t="s">
        <v>813</v>
      </c>
      <c r="B392" t="s">
        <v>814</v>
      </c>
      <c r="C392" t="s">
        <v>22</v>
      </c>
      <c r="D392">
        <v>66</v>
      </c>
      <c r="E392" s="20" t="str">
        <f t="shared" si="6"/>
        <v>60+</v>
      </c>
      <c r="F392" t="s">
        <v>59</v>
      </c>
      <c r="G392">
        <v>3</v>
      </c>
      <c r="H392">
        <v>107.52</v>
      </c>
      <c r="I392" t="s">
        <v>14</v>
      </c>
      <c r="J392" s="1">
        <v>44627</v>
      </c>
      <c r="K392" t="s">
        <v>53</v>
      </c>
    </row>
    <row r="393" spans="1:11" x14ac:dyDescent="0.3">
      <c r="A393" t="s">
        <v>815</v>
      </c>
      <c r="B393" t="s">
        <v>816</v>
      </c>
      <c r="C393" t="s">
        <v>22</v>
      </c>
      <c r="D393">
        <v>42</v>
      </c>
      <c r="E393" s="20" t="str">
        <f t="shared" si="6"/>
        <v>36-45</v>
      </c>
      <c r="F393" t="s">
        <v>13</v>
      </c>
      <c r="G393">
        <v>3</v>
      </c>
      <c r="H393">
        <v>900.24</v>
      </c>
      <c r="I393" t="s">
        <v>23</v>
      </c>
      <c r="J393" s="1">
        <v>44702</v>
      </c>
      <c r="K393" t="s">
        <v>43</v>
      </c>
    </row>
    <row r="394" spans="1:11" x14ac:dyDescent="0.3">
      <c r="A394" t="s">
        <v>817</v>
      </c>
      <c r="B394" t="s">
        <v>818</v>
      </c>
      <c r="C394" t="s">
        <v>12</v>
      </c>
      <c r="D394">
        <v>18</v>
      </c>
      <c r="E394" s="20" t="str">
        <f t="shared" si="6"/>
        <v>18-25</v>
      </c>
      <c r="F394" t="s">
        <v>48</v>
      </c>
      <c r="G394">
        <v>2</v>
      </c>
      <c r="H394">
        <v>1200.3399999999999</v>
      </c>
      <c r="I394" t="s">
        <v>28</v>
      </c>
      <c r="J394" s="1">
        <v>44267</v>
      </c>
      <c r="K394" t="s">
        <v>24</v>
      </c>
    </row>
    <row r="395" spans="1:11" x14ac:dyDescent="0.3">
      <c r="A395" t="s">
        <v>819</v>
      </c>
      <c r="B395" t="s">
        <v>820</v>
      </c>
      <c r="C395" t="s">
        <v>12</v>
      </c>
      <c r="D395">
        <v>50</v>
      </c>
      <c r="E395" s="20" t="str">
        <f t="shared" si="6"/>
        <v>46-60</v>
      </c>
      <c r="F395" t="s">
        <v>13</v>
      </c>
      <c r="G395">
        <v>5</v>
      </c>
      <c r="H395">
        <v>1500.4</v>
      </c>
      <c r="I395" t="s">
        <v>14</v>
      </c>
      <c r="J395" s="1">
        <v>44468</v>
      </c>
      <c r="K395" t="s">
        <v>24</v>
      </c>
    </row>
    <row r="396" spans="1:11" x14ac:dyDescent="0.3">
      <c r="A396" t="s">
        <v>821</v>
      </c>
      <c r="B396" t="s">
        <v>822</v>
      </c>
      <c r="C396" t="s">
        <v>22</v>
      </c>
      <c r="D396">
        <v>62</v>
      </c>
      <c r="E396" s="20" t="str">
        <f t="shared" si="6"/>
        <v>60+</v>
      </c>
      <c r="F396" t="s">
        <v>56</v>
      </c>
      <c r="G396">
        <v>1</v>
      </c>
      <c r="H396">
        <v>11.73</v>
      </c>
      <c r="I396" t="s">
        <v>28</v>
      </c>
      <c r="J396" s="1">
        <v>44236</v>
      </c>
      <c r="K396" t="s">
        <v>43</v>
      </c>
    </row>
    <row r="397" spans="1:11" x14ac:dyDescent="0.3">
      <c r="A397" t="s">
        <v>823</v>
      </c>
      <c r="B397" t="s">
        <v>824</v>
      </c>
      <c r="C397" t="s">
        <v>12</v>
      </c>
      <c r="D397">
        <v>20</v>
      </c>
      <c r="E397" s="20" t="str">
        <f t="shared" si="6"/>
        <v>18-25</v>
      </c>
      <c r="F397" t="s">
        <v>37</v>
      </c>
      <c r="G397">
        <v>3</v>
      </c>
      <c r="H397">
        <v>15.69</v>
      </c>
      <c r="I397" t="s">
        <v>14</v>
      </c>
      <c r="J397" s="1">
        <v>44682</v>
      </c>
      <c r="K397" t="s">
        <v>43</v>
      </c>
    </row>
    <row r="398" spans="1:11" x14ac:dyDescent="0.3">
      <c r="A398" t="s">
        <v>825</v>
      </c>
      <c r="B398" t="s">
        <v>826</v>
      </c>
      <c r="C398" t="s">
        <v>22</v>
      </c>
      <c r="D398">
        <v>40</v>
      </c>
      <c r="E398" s="20" t="str">
        <f t="shared" si="6"/>
        <v>36-45</v>
      </c>
      <c r="F398" t="s">
        <v>18</v>
      </c>
      <c r="G398">
        <v>3</v>
      </c>
      <c r="H398">
        <v>121.98</v>
      </c>
      <c r="I398" t="s">
        <v>23</v>
      </c>
      <c r="J398" s="1">
        <v>44736</v>
      </c>
      <c r="K398" t="s">
        <v>34</v>
      </c>
    </row>
    <row r="399" spans="1:11" x14ac:dyDescent="0.3">
      <c r="A399" t="s">
        <v>827</v>
      </c>
      <c r="B399" t="s">
        <v>828</v>
      </c>
      <c r="C399" t="s">
        <v>22</v>
      </c>
      <c r="D399">
        <v>27</v>
      </c>
      <c r="E399" s="20" t="str">
        <f t="shared" si="6"/>
        <v>26-35</v>
      </c>
      <c r="F399" t="s">
        <v>13</v>
      </c>
      <c r="G399">
        <v>1</v>
      </c>
      <c r="H399">
        <v>300.08</v>
      </c>
      <c r="I399" t="s">
        <v>23</v>
      </c>
      <c r="J399" s="1">
        <v>44261</v>
      </c>
      <c r="K399" t="s">
        <v>34</v>
      </c>
    </row>
    <row r="400" spans="1:11" x14ac:dyDescent="0.3">
      <c r="A400" t="s">
        <v>829</v>
      </c>
      <c r="B400" t="s">
        <v>830</v>
      </c>
      <c r="C400" t="s">
        <v>12</v>
      </c>
      <c r="D400">
        <v>18</v>
      </c>
      <c r="E400" s="20" t="str">
        <f t="shared" si="6"/>
        <v>18-25</v>
      </c>
      <c r="F400" t="s">
        <v>27</v>
      </c>
      <c r="G400">
        <v>3</v>
      </c>
      <c r="H400">
        <v>45.45</v>
      </c>
      <c r="I400" t="s">
        <v>14</v>
      </c>
      <c r="J400" s="1">
        <v>44663</v>
      </c>
      <c r="K400" t="s">
        <v>24</v>
      </c>
    </row>
    <row r="401" spans="1:11" x14ac:dyDescent="0.3">
      <c r="A401" t="s">
        <v>831</v>
      </c>
      <c r="B401" t="s">
        <v>832</v>
      </c>
      <c r="C401" t="s">
        <v>22</v>
      </c>
      <c r="D401">
        <v>27</v>
      </c>
      <c r="E401" s="20" t="str">
        <f t="shared" si="6"/>
        <v>26-35</v>
      </c>
      <c r="F401" t="s">
        <v>56</v>
      </c>
      <c r="G401">
        <v>1</v>
      </c>
      <c r="H401">
        <v>11.73</v>
      </c>
      <c r="I401" t="s">
        <v>14</v>
      </c>
      <c r="J401" s="1">
        <v>44252</v>
      </c>
      <c r="K401" t="s">
        <v>24</v>
      </c>
    </row>
    <row r="402" spans="1:11" x14ac:dyDescent="0.3">
      <c r="A402" t="s">
        <v>833</v>
      </c>
      <c r="B402" t="s">
        <v>834</v>
      </c>
      <c r="C402" t="s">
        <v>12</v>
      </c>
      <c r="D402">
        <v>52</v>
      </c>
      <c r="E402" s="20" t="str">
        <f t="shared" si="6"/>
        <v>46-60</v>
      </c>
      <c r="F402" t="s">
        <v>13</v>
      </c>
      <c r="G402">
        <v>2</v>
      </c>
      <c r="H402">
        <v>600.16</v>
      </c>
      <c r="I402" t="s">
        <v>14</v>
      </c>
      <c r="J402" s="1">
        <v>44766</v>
      </c>
      <c r="K402" t="s">
        <v>19</v>
      </c>
    </row>
    <row r="403" spans="1:11" x14ac:dyDescent="0.3">
      <c r="A403" t="s">
        <v>835</v>
      </c>
      <c r="B403" t="s">
        <v>836</v>
      </c>
      <c r="C403" t="s">
        <v>22</v>
      </c>
      <c r="D403">
        <v>51</v>
      </c>
      <c r="E403" s="20" t="str">
        <f t="shared" si="6"/>
        <v>46-60</v>
      </c>
      <c r="F403" t="s">
        <v>13</v>
      </c>
      <c r="G403">
        <v>4</v>
      </c>
      <c r="H403">
        <v>1200.32</v>
      </c>
      <c r="I403" t="s">
        <v>28</v>
      </c>
      <c r="J403" s="1">
        <v>44307</v>
      </c>
      <c r="K403" t="s">
        <v>53</v>
      </c>
    </row>
    <row r="404" spans="1:11" x14ac:dyDescent="0.3">
      <c r="A404" t="s">
        <v>837</v>
      </c>
      <c r="B404" t="s">
        <v>838</v>
      </c>
      <c r="C404" t="s">
        <v>22</v>
      </c>
      <c r="D404">
        <v>50</v>
      </c>
      <c r="E404" s="20" t="str">
        <f t="shared" si="6"/>
        <v>46-60</v>
      </c>
      <c r="F404" t="s">
        <v>59</v>
      </c>
      <c r="G404">
        <v>4</v>
      </c>
      <c r="H404">
        <v>143.36000000000001</v>
      </c>
      <c r="I404" t="s">
        <v>23</v>
      </c>
      <c r="J404" s="1">
        <v>44349</v>
      </c>
      <c r="K404" t="s">
        <v>19</v>
      </c>
    </row>
    <row r="405" spans="1:11" x14ac:dyDescent="0.3">
      <c r="A405" t="s">
        <v>839</v>
      </c>
      <c r="B405" t="s">
        <v>840</v>
      </c>
      <c r="C405" t="s">
        <v>12</v>
      </c>
      <c r="D405">
        <v>54</v>
      </c>
      <c r="E405" s="20" t="str">
        <f t="shared" si="6"/>
        <v>46-60</v>
      </c>
      <c r="F405" t="s">
        <v>48</v>
      </c>
      <c r="G405">
        <v>4</v>
      </c>
      <c r="H405">
        <v>2400.6799999999998</v>
      </c>
      <c r="I405" t="s">
        <v>28</v>
      </c>
      <c r="J405" s="1">
        <v>44809</v>
      </c>
      <c r="K405" t="s">
        <v>43</v>
      </c>
    </row>
    <row r="406" spans="1:11" x14ac:dyDescent="0.3">
      <c r="A406" t="s">
        <v>841</v>
      </c>
      <c r="B406" t="s">
        <v>842</v>
      </c>
      <c r="C406" t="s">
        <v>22</v>
      </c>
      <c r="D406">
        <v>58</v>
      </c>
      <c r="E406" s="20" t="str">
        <f t="shared" si="6"/>
        <v>46-60</v>
      </c>
      <c r="F406" t="s">
        <v>59</v>
      </c>
      <c r="G406">
        <v>2</v>
      </c>
      <c r="H406">
        <v>71.680000000000007</v>
      </c>
      <c r="I406" t="s">
        <v>28</v>
      </c>
      <c r="J406" s="1">
        <v>44465</v>
      </c>
      <c r="K406" t="s">
        <v>43</v>
      </c>
    </row>
    <row r="407" spans="1:11" x14ac:dyDescent="0.3">
      <c r="A407" t="s">
        <v>843</v>
      </c>
      <c r="B407" t="s">
        <v>844</v>
      </c>
      <c r="C407" t="s">
        <v>22</v>
      </c>
      <c r="D407">
        <v>67</v>
      </c>
      <c r="E407" s="20" t="str">
        <f t="shared" si="6"/>
        <v>60+</v>
      </c>
      <c r="F407" t="s">
        <v>13</v>
      </c>
      <c r="G407">
        <v>4</v>
      </c>
      <c r="H407">
        <v>1200.32</v>
      </c>
      <c r="I407" t="s">
        <v>28</v>
      </c>
      <c r="J407" s="1">
        <v>44804</v>
      </c>
      <c r="K407" t="s">
        <v>24</v>
      </c>
    </row>
    <row r="408" spans="1:11" x14ac:dyDescent="0.3">
      <c r="A408" t="s">
        <v>845</v>
      </c>
      <c r="B408" t="s">
        <v>846</v>
      </c>
      <c r="C408" t="s">
        <v>22</v>
      </c>
      <c r="D408">
        <v>52</v>
      </c>
      <c r="E408" s="20" t="str">
        <f t="shared" si="6"/>
        <v>46-60</v>
      </c>
      <c r="F408" t="s">
        <v>18</v>
      </c>
      <c r="G408">
        <v>4</v>
      </c>
      <c r="H408">
        <v>162.63999999999999</v>
      </c>
      <c r="I408" t="s">
        <v>14</v>
      </c>
      <c r="J408" s="1">
        <v>44357</v>
      </c>
      <c r="K408" t="s">
        <v>19</v>
      </c>
    </row>
    <row r="409" spans="1:11" x14ac:dyDescent="0.3">
      <c r="A409" t="s">
        <v>847</v>
      </c>
      <c r="B409" t="s">
        <v>848</v>
      </c>
      <c r="C409" t="s">
        <v>22</v>
      </c>
      <c r="D409">
        <v>26</v>
      </c>
      <c r="E409" s="20" t="str">
        <f t="shared" si="6"/>
        <v>26-35</v>
      </c>
      <c r="F409" t="s">
        <v>18</v>
      </c>
      <c r="G409">
        <v>2</v>
      </c>
      <c r="H409">
        <v>81.319999999999993</v>
      </c>
      <c r="I409" t="s">
        <v>14</v>
      </c>
      <c r="J409" s="1">
        <v>44218</v>
      </c>
      <c r="K409" t="s">
        <v>60</v>
      </c>
    </row>
    <row r="410" spans="1:11" x14ac:dyDescent="0.3">
      <c r="A410" t="s">
        <v>849</v>
      </c>
      <c r="B410" t="s">
        <v>850</v>
      </c>
      <c r="C410" t="s">
        <v>22</v>
      </c>
      <c r="D410">
        <v>24</v>
      </c>
      <c r="E410" s="20" t="str">
        <f t="shared" si="6"/>
        <v>18-25</v>
      </c>
      <c r="F410" t="s">
        <v>18</v>
      </c>
      <c r="G410">
        <v>2</v>
      </c>
      <c r="H410">
        <v>81.319999999999993</v>
      </c>
      <c r="I410" t="s">
        <v>23</v>
      </c>
      <c r="J410" s="1">
        <v>44645</v>
      </c>
      <c r="K410" t="s">
        <v>84</v>
      </c>
    </row>
    <row r="411" spans="1:11" x14ac:dyDescent="0.3">
      <c r="A411" t="s">
        <v>851</v>
      </c>
      <c r="B411" t="s">
        <v>852</v>
      </c>
      <c r="C411" t="s">
        <v>22</v>
      </c>
      <c r="D411">
        <v>65</v>
      </c>
      <c r="E411" s="20" t="str">
        <f t="shared" si="6"/>
        <v>60+</v>
      </c>
      <c r="F411" t="s">
        <v>18</v>
      </c>
      <c r="G411">
        <v>2</v>
      </c>
      <c r="H411">
        <v>81.319999999999993</v>
      </c>
      <c r="I411" t="s">
        <v>23</v>
      </c>
      <c r="J411" s="1">
        <v>44816</v>
      </c>
      <c r="K411" t="s">
        <v>15</v>
      </c>
    </row>
    <row r="412" spans="1:11" x14ac:dyDescent="0.3">
      <c r="A412" t="s">
        <v>853</v>
      </c>
      <c r="B412" t="s">
        <v>854</v>
      </c>
      <c r="C412" t="s">
        <v>12</v>
      </c>
      <c r="D412">
        <v>38</v>
      </c>
      <c r="E412" s="20" t="str">
        <f t="shared" si="6"/>
        <v>36-45</v>
      </c>
      <c r="F412" t="s">
        <v>18</v>
      </c>
      <c r="G412">
        <v>1</v>
      </c>
      <c r="H412">
        <v>40.659999999999997</v>
      </c>
      <c r="I412" t="s">
        <v>14</v>
      </c>
      <c r="J412" s="1">
        <v>44643</v>
      </c>
      <c r="K412" t="s">
        <v>34</v>
      </c>
    </row>
    <row r="413" spans="1:11" x14ac:dyDescent="0.3">
      <c r="A413" t="s">
        <v>855</v>
      </c>
      <c r="B413" t="s">
        <v>856</v>
      </c>
      <c r="C413" t="s">
        <v>12</v>
      </c>
      <c r="D413">
        <v>42</v>
      </c>
      <c r="E413" s="20" t="str">
        <f t="shared" si="6"/>
        <v>36-45</v>
      </c>
      <c r="F413" t="s">
        <v>48</v>
      </c>
      <c r="G413">
        <v>3</v>
      </c>
      <c r="H413">
        <v>1800.51</v>
      </c>
      <c r="I413" t="s">
        <v>14</v>
      </c>
      <c r="J413" s="1">
        <v>44538</v>
      </c>
      <c r="K413" t="s">
        <v>60</v>
      </c>
    </row>
    <row r="414" spans="1:11" x14ac:dyDescent="0.3">
      <c r="A414" t="s">
        <v>857</v>
      </c>
      <c r="B414" t="s">
        <v>858</v>
      </c>
      <c r="C414" t="s">
        <v>22</v>
      </c>
      <c r="D414">
        <v>39</v>
      </c>
      <c r="E414" s="20" t="str">
        <f t="shared" si="6"/>
        <v>36-45</v>
      </c>
      <c r="F414" t="s">
        <v>48</v>
      </c>
      <c r="G414">
        <v>5</v>
      </c>
      <c r="H414">
        <v>3000.85</v>
      </c>
      <c r="I414" t="s">
        <v>28</v>
      </c>
      <c r="J414" s="1">
        <v>44388</v>
      </c>
      <c r="K414" t="s">
        <v>24</v>
      </c>
    </row>
    <row r="415" spans="1:11" x14ac:dyDescent="0.3">
      <c r="A415" t="s">
        <v>859</v>
      </c>
      <c r="B415" t="s">
        <v>860</v>
      </c>
      <c r="C415" t="s">
        <v>12</v>
      </c>
      <c r="D415">
        <v>39</v>
      </c>
      <c r="E415" s="20" t="str">
        <f t="shared" si="6"/>
        <v>36-45</v>
      </c>
      <c r="F415" t="s">
        <v>13</v>
      </c>
      <c r="G415">
        <v>4</v>
      </c>
      <c r="H415">
        <v>1200.32</v>
      </c>
      <c r="I415" t="s">
        <v>14</v>
      </c>
      <c r="J415" s="1">
        <v>44345</v>
      </c>
      <c r="K415" t="s">
        <v>84</v>
      </c>
    </row>
    <row r="416" spans="1:11" x14ac:dyDescent="0.3">
      <c r="A416" t="s">
        <v>861</v>
      </c>
      <c r="B416" t="s">
        <v>862</v>
      </c>
      <c r="C416" t="s">
        <v>12</v>
      </c>
      <c r="D416">
        <v>18</v>
      </c>
      <c r="E416" s="20" t="str">
        <f t="shared" si="6"/>
        <v>18-25</v>
      </c>
      <c r="F416" t="s">
        <v>13</v>
      </c>
      <c r="G416">
        <v>2</v>
      </c>
      <c r="H416">
        <v>600.16</v>
      </c>
      <c r="I416" t="s">
        <v>28</v>
      </c>
      <c r="J416" s="1">
        <v>44891</v>
      </c>
      <c r="K416" t="s">
        <v>34</v>
      </c>
    </row>
    <row r="417" spans="1:11" x14ac:dyDescent="0.3">
      <c r="A417" t="s">
        <v>863</v>
      </c>
      <c r="B417" t="s">
        <v>864</v>
      </c>
      <c r="C417" t="s">
        <v>22</v>
      </c>
      <c r="D417">
        <v>47</v>
      </c>
      <c r="E417" s="20" t="str">
        <f t="shared" si="6"/>
        <v>46-60</v>
      </c>
      <c r="F417" t="s">
        <v>13</v>
      </c>
      <c r="G417">
        <v>2</v>
      </c>
      <c r="H417">
        <v>600.16</v>
      </c>
      <c r="I417" t="s">
        <v>28</v>
      </c>
      <c r="J417" s="1">
        <v>44488</v>
      </c>
      <c r="K417" t="s">
        <v>43</v>
      </c>
    </row>
    <row r="418" spans="1:11" x14ac:dyDescent="0.3">
      <c r="A418" t="s">
        <v>865</v>
      </c>
      <c r="B418" t="s">
        <v>866</v>
      </c>
      <c r="C418" t="s">
        <v>12</v>
      </c>
      <c r="D418">
        <v>60</v>
      </c>
      <c r="E418" s="20" t="str">
        <f t="shared" si="6"/>
        <v>46-60</v>
      </c>
      <c r="F418" t="s">
        <v>27</v>
      </c>
      <c r="G418">
        <v>4</v>
      </c>
      <c r="H418">
        <v>60.6</v>
      </c>
      <c r="I418" t="s">
        <v>28</v>
      </c>
      <c r="J418" s="1">
        <v>44234</v>
      </c>
      <c r="K418" t="s">
        <v>84</v>
      </c>
    </row>
    <row r="419" spans="1:11" x14ac:dyDescent="0.3">
      <c r="A419" t="s">
        <v>867</v>
      </c>
      <c r="B419" t="s">
        <v>868</v>
      </c>
      <c r="C419" t="s">
        <v>22</v>
      </c>
      <c r="D419">
        <v>59</v>
      </c>
      <c r="E419" s="20" t="str">
        <f t="shared" si="6"/>
        <v>46-60</v>
      </c>
      <c r="F419" t="s">
        <v>59</v>
      </c>
      <c r="G419">
        <v>5</v>
      </c>
      <c r="H419">
        <v>179.2</v>
      </c>
      <c r="I419" t="s">
        <v>28</v>
      </c>
      <c r="J419" s="1">
        <v>44491</v>
      </c>
      <c r="K419" t="s">
        <v>43</v>
      </c>
    </row>
    <row r="420" spans="1:11" x14ac:dyDescent="0.3">
      <c r="A420" t="s">
        <v>869</v>
      </c>
      <c r="B420" t="s">
        <v>870</v>
      </c>
      <c r="C420" t="s">
        <v>22</v>
      </c>
      <c r="D420">
        <v>22</v>
      </c>
      <c r="E420" s="20" t="str">
        <f t="shared" si="6"/>
        <v>18-25</v>
      </c>
      <c r="F420" t="s">
        <v>59</v>
      </c>
      <c r="G420">
        <v>5</v>
      </c>
      <c r="H420">
        <v>179.2</v>
      </c>
      <c r="I420" t="s">
        <v>28</v>
      </c>
      <c r="J420" s="1">
        <v>44352</v>
      </c>
      <c r="K420" t="s">
        <v>53</v>
      </c>
    </row>
    <row r="421" spans="1:11" x14ac:dyDescent="0.3">
      <c r="A421" t="s">
        <v>871</v>
      </c>
      <c r="B421" t="s">
        <v>872</v>
      </c>
      <c r="C421" t="s">
        <v>22</v>
      </c>
      <c r="D421">
        <v>47</v>
      </c>
      <c r="E421" s="20" t="str">
        <f t="shared" si="6"/>
        <v>46-60</v>
      </c>
      <c r="F421" t="s">
        <v>27</v>
      </c>
      <c r="G421">
        <v>3</v>
      </c>
      <c r="H421">
        <v>45.45</v>
      </c>
      <c r="I421" t="s">
        <v>14</v>
      </c>
      <c r="J421" s="1">
        <v>44560</v>
      </c>
      <c r="K421" t="s">
        <v>34</v>
      </c>
    </row>
    <row r="422" spans="1:11" x14ac:dyDescent="0.3">
      <c r="A422" t="s">
        <v>873</v>
      </c>
      <c r="B422" t="s">
        <v>874</v>
      </c>
      <c r="C422" t="s">
        <v>22</v>
      </c>
      <c r="D422">
        <v>61</v>
      </c>
      <c r="E422" s="20" t="str">
        <f t="shared" si="6"/>
        <v>60+</v>
      </c>
      <c r="F422" t="s">
        <v>13</v>
      </c>
      <c r="G422">
        <v>1</v>
      </c>
      <c r="H422">
        <v>300.08</v>
      </c>
      <c r="I422" t="s">
        <v>14</v>
      </c>
      <c r="J422" s="1">
        <v>44942</v>
      </c>
      <c r="K422" t="s">
        <v>43</v>
      </c>
    </row>
    <row r="423" spans="1:11" x14ac:dyDescent="0.3">
      <c r="A423" t="s">
        <v>875</v>
      </c>
      <c r="B423" t="s">
        <v>876</v>
      </c>
      <c r="C423" t="s">
        <v>22</v>
      </c>
      <c r="D423">
        <v>29</v>
      </c>
      <c r="E423" s="20" t="str">
        <f t="shared" si="6"/>
        <v>26-35</v>
      </c>
      <c r="F423" t="s">
        <v>18</v>
      </c>
      <c r="G423">
        <v>5</v>
      </c>
      <c r="H423">
        <v>203.3</v>
      </c>
      <c r="I423" t="s">
        <v>28</v>
      </c>
      <c r="J423" s="1">
        <v>44676</v>
      </c>
      <c r="K423" t="s">
        <v>34</v>
      </c>
    </row>
    <row r="424" spans="1:11" x14ac:dyDescent="0.3">
      <c r="A424" t="s">
        <v>877</v>
      </c>
      <c r="B424" t="s">
        <v>878</v>
      </c>
      <c r="C424" t="s">
        <v>22</v>
      </c>
      <c r="D424">
        <v>35</v>
      </c>
      <c r="E424" s="20" t="str">
        <f t="shared" si="6"/>
        <v>26-35</v>
      </c>
      <c r="F424" t="s">
        <v>18</v>
      </c>
      <c r="G424">
        <v>3</v>
      </c>
      <c r="H424">
        <v>121.98</v>
      </c>
      <c r="I424" t="s">
        <v>14</v>
      </c>
      <c r="J424" s="1">
        <v>44447</v>
      </c>
      <c r="K424" t="s">
        <v>24</v>
      </c>
    </row>
    <row r="425" spans="1:11" x14ac:dyDescent="0.3">
      <c r="A425" t="s">
        <v>879</v>
      </c>
      <c r="B425" t="s">
        <v>880</v>
      </c>
      <c r="C425" t="s">
        <v>22</v>
      </c>
      <c r="D425">
        <v>55</v>
      </c>
      <c r="E425" s="20" t="str">
        <f t="shared" si="6"/>
        <v>46-60</v>
      </c>
      <c r="F425" t="s">
        <v>37</v>
      </c>
      <c r="G425">
        <v>3</v>
      </c>
      <c r="H425">
        <v>15.69</v>
      </c>
      <c r="I425" t="s">
        <v>23</v>
      </c>
      <c r="J425" s="1">
        <v>44773</v>
      </c>
      <c r="K425" t="s">
        <v>43</v>
      </c>
    </row>
    <row r="426" spans="1:11" x14ac:dyDescent="0.3">
      <c r="A426" t="s">
        <v>881</v>
      </c>
      <c r="B426" t="s">
        <v>882</v>
      </c>
      <c r="C426" t="s">
        <v>22</v>
      </c>
      <c r="D426">
        <v>24</v>
      </c>
      <c r="E426" s="20" t="str">
        <f t="shared" si="6"/>
        <v>18-25</v>
      </c>
      <c r="F426" t="s">
        <v>27</v>
      </c>
      <c r="G426">
        <v>1</v>
      </c>
      <c r="H426">
        <v>15.15</v>
      </c>
      <c r="I426" t="s">
        <v>14</v>
      </c>
      <c r="J426" s="1">
        <v>44719</v>
      </c>
      <c r="K426" t="s">
        <v>60</v>
      </c>
    </row>
    <row r="427" spans="1:11" x14ac:dyDescent="0.3">
      <c r="A427" t="s">
        <v>883</v>
      </c>
      <c r="B427" t="s">
        <v>884</v>
      </c>
      <c r="C427" t="s">
        <v>22</v>
      </c>
      <c r="D427">
        <v>27</v>
      </c>
      <c r="E427" s="20" t="str">
        <f t="shared" si="6"/>
        <v>26-35</v>
      </c>
      <c r="F427" t="s">
        <v>18</v>
      </c>
      <c r="G427">
        <v>2</v>
      </c>
      <c r="H427">
        <v>81.319999999999993</v>
      </c>
      <c r="I427" t="s">
        <v>28</v>
      </c>
      <c r="J427" s="1">
        <v>44818</v>
      </c>
      <c r="K427" t="s">
        <v>24</v>
      </c>
    </row>
    <row r="428" spans="1:11" x14ac:dyDescent="0.3">
      <c r="A428" t="s">
        <v>885</v>
      </c>
      <c r="B428" t="s">
        <v>886</v>
      </c>
      <c r="C428" t="s">
        <v>22</v>
      </c>
      <c r="D428">
        <v>32</v>
      </c>
      <c r="E428" s="20" t="str">
        <f t="shared" si="6"/>
        <v>26-35</v>
      </c>
      <c r="F428" t="s">
        <v>13</v>
      </c>
      <c r="G428">
        <v>5</v>
      </c>
      <c r="H428">
        <v>1500.4</v>
      </c>
      <c r="I428" t="s">
        <v>14</v>
      </c>
      <c r="J428" s="1">
        <v>44758</v>
      </c>
      <c r="K428" t="s">
        <v>19</v>
      </c>
    </row>
    <row r="429" spans="1:11" x14ac:dyDescent="0.3">
      <c r="A429" t="s">
        <v>887</v>
      </c>
      <c r="B429" t="s">
        <v>888</v>
      </c>
      <c r="C429" t="s">
        <v>22</v>
      </c>
      <c r="D429">
        <v>21</v>
      </c>
      <c r="E429" s="20" t="str">
        <f t="shared" si="6"/>
        <v>18-25</v>
      </c>
      <c r="F429" t="s">
        <v>13</v>
      </c>
      <c r="G429">
        <v>3</v>
      </c>
      <c r="H429">
        <v>900.24</v>
      </c>
      <c r="I429" t="s">
        <v>23</v>
      </c>
      <c r="J429" s="1">
        <v>44875</v>
      </c>
      <c r="K429" t="s">
        <v>43</v>
      </c>
    </row>
    <row r="430" spans="1:11" x14ac:dyDescent="0.3">
      <c r="A430" t="s">
        <v>889</v>
      </c>
      <c r="B430" t="s">
        <v>890</v>
      </c>
      <c r="C430" t="s">
        <v>22</v>
      </c>
      <c r="D430">
        <v>63</v>
      </c>
      <c r="E430" s="20" t="str">
        <f t="shared" si="6"/>
        <v>60+</v>
      </c>
      <c r="F430" t="s">
        <v>13</v>
      </c>
      <c r="G430">
        <v>3</v>
      </c>
      <c r="H430">
        <v>900.24</v>
      </c>
      <c r="I430" t="s">
        <v>14</v>
      </c>
      <c r="J430" s="1">
        <v>44725</v>
      </c>
      <c r="K430" t="s">
        <v>84</v>
      </c>
    </row>
    <row r="431" spans="1:11" x14ac:dyDescent="0.3">
      <c r="A431" t="s">
        <v>891</v>
      </c>
      <c r="B431" t="s">
        <v>892</v>
      </c>
      <c r="C431" t="s">
        <v>22</v>
      </c>
      <c r="D431">
        <v>20</v>
      </c>
      <c r="E431" s="20" t="str">
        <f t="shared" si="6"/>
        <v>18-25</v>
      </c>
      <c r="F431" t="s">
        <v>13</v>
      </c>
      <c r="G431">
        <v>4</v>
      </c>
      <c r="H431">
        <v>1200.32</v>
      </c>
      <c r="I431" t="s">
        <v>14</v>
      </c>
      <c r="J431" s="1">
        <v>44420</v>
      </c>
      <c r="K431" t="s">
        <v>34</v>
      </c>
    </row>
    <row r="432" spans="1:11" x14ac:dyDescent="0.3">
      <c r="A432" t="s">
        <v>893</v>
      </c>
      <c r="B432" t="s">
        <v>894</v>
      </c>
      <c r="C432" t="s">
        <v>22</v>
      </c>
      <c r="D432">
        <v>50</v>
      </c>
      <c r="E432" s="20" t="str">
        <f t="shared" si="6"/>
        <v>46-60</v>
      </c>
      <c r="F432" t="s">
        <v>13</v>
      </c>
      <c r="G432">
        <v>3</v>
      </c>
      <c r="H432">
        <v>900.24</v>
      </c>
      <c r="I432" t="s">
        <v>28</v>
      </c>
      <c r="J432" s="1">
        <v>44254</v>
      </c>
      <c r="K432" t="s">
        <v>15</v>
      </c>
    </row>
    <row r="433" spans="1:11" x14ac:dyDescent="0.3">
      <c r="A433" t="s">
        <v>895</v>
      </c>
      <c r="B433" t="s">
        <v>896</v>
      </c>
      <c r="C433" t="s">
        <v>12</v>
      </c>
      <c r="D433">
        <v>54</v>
      </c>
      <c r="E433" s="20" t="str">
        <f t="shared" si="6"/>
        <v>46-60</v>
      </c>
      <c r="F433" t="s">
        <v>59</v>
      </c>
      <c r="G433">
        <v>2</v>
      </c>
      <c r="H433">
        <v>71.680000000000007</v>
      </c>
      <c r="I433" t="s">
        <v>28</v>
      </c>
      <c r="J433" s="1">
        <v>44266</v>
      </c>
      <c r="K433" t="s">
        <v>84</v>
      </c>
    </row>
    <row r="434" spans="1:11" x14ac:dyDescent="0.3">
      <c r="A434" t="s">
        <v>897</v>
      </c>
      <c r="B434" t="s">
        <v>898</v>
      </c>
      <c r="C434" t="s">
        <v>12</v>
      </c>
      <c r="D434">
        <v>52</v>
      </c>
      <c r="E434" s="20" t="str">
        <f t="shared" si="6"/>
        <v>46-60</v>
      </c>
      <c r="F434" t="s">
        <v>27</v>
      </c>
      <c r="G434">
        <v>3</v>
      </c>
      <c r="H434">
        <v>45.45</v>
      </c>
      <c r="I434" t="s">
        <v>14</v>
      </c>
      <c r="J434" s="1">
        <v>44960</v>
      </c>
      <c r="K434" t="s">
        <v>19</v>
      </c>
    </row>
    <row r="435" spans="1:11" x14ac:dyDescent="0.3">
      <c r="A435" t="s">
        <v>899</v>
      </c>
      <c r="B435" t="s">
        <v>900</v>
      </c>
      <c r="C435" t="s">
        <v>22</v>
      </c>
      <c r="D435">
        <v>67</v>
      </c>
      <c r="E435" s="20" t="str">
        <f t="shared" si="6"/>
        <v>60+</v>
      </c>
      <c r="F435" t="s">
        <v>18</v>
      </c>
      <c r="G435">
        <v>3</v>
      </c>
      <c r="H435">
        <v>121.98</v>
      </c>
      <c r="I435" t="s">
        <v>14</v>
      </c>
      <c r="J435" s="1">
        <v>44315</v>
      </c>
      <c r="K435" t="s">
        <v>43</v>
      </c>
    </row>
    <row r="436" spans="1:11" x14ac:dyDescent="0.3">
      <c r="A436" t="s">
        <v>901</v>
      </c>
      <c r="B436" t="s">
        <v>902</v>
      </c>
      <c r="C436" t="s">
        <v>22</v>
      </c>
      <c r="D436">
        <v>21</v>
      </c>
      <c r="E436" s="20" t="str">
        <f t="shared" si="6"/>
        <v>18-25</v>
      </c>
      <c r="F436" t="s">
        <v>13</v>
      </c>
      <c r="G436">
        <v>5</v>
      </c>
      <c r="H436">
        <v>1500.4</v>
      </c>
      <c r="I436" t="s">
        <v>23</v>
      </c>
      <c r="J436" s="1">
        <v>44385</v>
      </c>
      <c r="K436" t="s">
        <v>24</v>
      </c>
    </row>
    <row r="437" spans="1:11" x14ac:dyDescent="0.3">
      <c r="A437" t="s">
        <v>903</v>
      </c>
      <c r="B437" t="s">
        <v>904</v>
      </c>
      <c r="C437" t="s">
        <v>22</v>
      </c>
      <c r="D437">
        <v>50</v>
      </c>
      <c r="E437" s="20" t="str">
        <f t="shared" si="6"/>
        <v>46-60</v>
      </c>
      <c r="F437" t="s">
        <v>27</v>
      </c>
      <c r="G437">
        <v>4</v>
      </c>
      <c r="H437">
        <v>60.6</v>
      </c>
      <c r="I437" t="s">
        <v>28</v>
      </c>
      <c r="J437" s="1">
        <v>44303</v>
      </c>
      <c r="K437" t="s">
        <v>24</v>
      </c>
    </row>
    <row r="438" spans="1:11" x14ac:dyDescent="0.3">
      <c r="A438" t="s">
        <v>905</v>
      </c>
      <c r="B438" t="s">
        <v>906</v>
      </c>
      <c r="C438" t="s">
        <v>12</v>
      </c>
      <c r="D438">
        <v>40</v>
      </c>
      <c r="E438" s="20" t="str">
        <f t="shared" si="6"/>
        <v>36-45</v>
      </c>
      <c r="F438" t="s">
        <v>37</v>
      </c>
      <c r="G438">
        <v>3</v>
      </c>
      <c r="H438">
        <v>15.69</v>
      </c>
      <c r="I438" t="s">
        <v>28</v>
      </c>
      <c r="J438" s="1">
        <v>44783</v>
      </c>
      <c r="K438" t="s">
        <v>24</v>
      </c>
    </row>
    <row r="439" spans="1:11" x14ac:dyDescent="0.3">
      <c r="A439" t="s">
        <v>907</v>
      </c>
      <c r="B439" t="s">
        <v>908</v>
      </c>
      <c r="C439" t="s">
        <v>12</v>
      </c>
      <c r="D439">
        <v>30</v>
      </c>
      <c r="E439" s="20" t="str">
        <f t="shared" si="6"/>
        <v>26-35</v>
      </c>
      <c r="F439" t="s">
        <v>27</v>
      </c>
      <c r="G439">
        <v>5</v>
      </c>
      <c r="H439">
        <v>75.75</v>
      </c>
      <c r="I439" t="s">
        <v>14</v>
      </c>
      <c r="J439" s="1">
        <v>44529</v>
      </c>
      <c r="K439" t="s">
        <v>24</v>
      </c>
    </row>
    <row r="440" spans="1:11" x14ac:dyDescent="0.3">
      <c r="A440" t="s">
        <v>909</v>
      </c>
      <c r="B440" t="s">
        <v>910</v>
      </c>
      <c r="C440" t="s">
        <v>22</v>
      </c>
      <c r="D440">
        <v>29</v>
      </c>
      <c r="E440" s="20" t="str">
        <f t="shared" si="6"/>
        <v>26-35</v>
      </c>
      <c r="F440" t="s">
        <v>59</v>
      </c>
      <c r="G440">
        <v>2</v>
      </c>
      <c r="H440">
        <v>71.680000000000007</v>
      </c>
      <c r="I440" t="s">
        <v>28</v>
      </c>
      <c r="J440" s="1">
        <v>44777</v>
      </c>
      <c r="K440" t="s">
        <v>60</v>
      </c>
    </row>
    <row r="441" spans="1:11" x14ac:dyDescent="0.3">
      <c r="A441" t="s">
        <v>911</v>
      </c>
      <c r="B441" t="s">
        <v>912</v>
      </c>
      <c r="C441" t="s">
        <v>22</v>
      </c>
      <c r="D441">
        <v>29</v>
      </c>
      <c r="E441" s="20" t="str">
        <f t="shared" si="6"/>
        <v>26-35</v>
      </c>
      <c r="F441" t="s">
        <v>18</v>
      </c>
      <c r="G441">
        <v>4</v>
      </c>
      <c r="H441">
        <v>162.63999999999999</v>
      </c>
      <c r="I441" t="s">
        <v>28</v>
      </c>
      <c r="J441" s="1">
        <v>44444</v>
      </c>
      <c r="K441" t="s">
        <v>24</v>
      </c>
    </row>
    <row r="442" spans="1:11" x14ac:dyDescent="0.3">
      <c r="A442" t="s">
        <v>913</v>
      </c>
      <c r="B442" t="s">
        <v>914</v>
      </c>
      <c r="C442" t="s">
        <v>22</v>
      </c>
      <c r="D442">
        <v>51</v>
      </c>
      <c r="E442" s="20" t="str">
        <f t="shared" si="6"/>
        <v>46-60</v>
      </c>
      <c r="F442" t="s">
        <v>56</v>
      </c>
      <c r="G442">
        <v>5</v>
      </c>
      <c r="H442">
        <v>58.65</v>
      </c>
      <c r="I442" t="s">
        <v>23</v>
      </c>
      <c r="J442" s="1">
        <v>44547</v>
      </c>
      <c r="K442" t="s">
        <v>15</v>
      </c>
    </row>
    <row r="443" spans="1:11" x14ac:dyDescent="0.3">
      <c r="A443" t="s">
        <v>915</v>
      </c>
      <c r="B443" t="s">
        <v>916</v>
      </c>
      <c r="C443" t="s">
        <v>22</v>
      </c>
      <c r="D443">
        <v>18</v>
      </c>
      <c r="E443" s="20" t="str">
        <f t="shared" si="6"/>
        <v>18-25</v>
      </c>
      <c r="F443" t="s">
        <v>18</v>
      </c>
      <c r="G443">
        <v>4</v>
      </c>
      <c r="H443">
        <v>162.63999999999999</v>
      </c>
      <c r="I443" t="s">
        <v>28</v>
      </c>
      <c r="J443" s="1">
        <v>44683</v>
      </c>
      <c r="K443" t="s">
        <v>43</v>
      </c>
    </row>
    <row r="444" spans="1:11" x14ac:dyDescent="0.3">
      <c r="A444" t="s">
        <v>917</v>
      </c>
      <c r="B444" t="s">
        <v>918</v>
      </c>
      <c r="C444" t="s">
        <v>12</v>
      </c>
      <c r="D444">
        <v>33</v>
      </c>
      <c r="E444" s="20" t="str">
        <f t="shared" si="6"/>
        <v>26-35</v>
      </c>
      <c r="F444" t="s">
        <v>18</v>
      </c>
      <c r="G444">
        <v>4</v>
      </c>
      <c r="H444">
        <v>162.63999999999999</v>
      </c>
      <c r="I444" t="s">
        <v>28</v>
      </c>
      <c r="J444" s="1">
        <v>44535</v>
      </c>
      <c r="K444" t="s">
        <v>34</v>
      </c>
    </row>
    <row r="445" spans="1:11" x14ac:dyDescent="0.3">
      <c r="A445" t="s">
        <v>919</v>
      </c>
      <c r="B445" t="s">
        <v>920</v>
      </c>
      <c r="C445" t="s">
        <v>12</v>
      </c>
      <c r="D445">
        <v>45</v>
      </c>
      <c r="E445" s="20" t="str">
        <f t="shared" si="6"/>
        <v>36-45</v>
      </c>
      <c r="F445" t="s">
        <v>13</v>
      </c>
      <c r="G445">
        <v>2</v>
      </c>
      <c r="H445">
        <v>600.16</v>
      </c>
      <c r="I445" t="s">
        <v>28</v>
      </c>
      <c r="J445" s="1">
        <v>44484</v>
      </c>
      <c r="K445" t="s">
        <v>15</v>
      </c>
    </row>
    <row r="446" spans="1:11" x14ac:dyDescent="0.3">
      <c r="A446" t="s">
        <v>921</v>
      </c>
      <c r="B446" t="s">
        <v>922</v>
      </c>
      <c r="C446" t="s">
        <v>22</v>
      </c>
      <c r="D446">
        <v>65</v>
      </c>
      <c r="E446" s="20" t="str">
        <f t="shared" si="6"/>
        <v>60+</v>
      </c>
      <c r="F446" t="s">
        <v>18</v>
      </c>
      <c r="G446">
        <v>1</v>
      </c>
      <c r="H446">
        <v>40.659999999999997</v>
      </c>
      <c r="I446" t="s">
        <v>23</v>
      </c>
      <c r="J446" s="1">
        <v>44295</v>
      </c>
      <c r="K446" t="s">
        <v>43</v>
      </c>
    </row>
    <row r="447" spans="1:11" x14ac:dyDescent="0.3">
      <c r="A447" t="s">
        <v>923</v>
      </c>
      <c r="B447" t="s">
        <v>924</v>
      </c>
      <c r="C447" t="s">
        <v>22</v>
      </c>
      <c r="D447">
        <v>53</v>
      </c>
      <c r="E447" s="20" t="str">
        <f t="shared" si="6"/>
        <v>46-60</v>
      </c>
      <c r="F447" t="s">
        <v>13</v>
      </c>
      <c r="G447">
        <v>3</v>
      </c>
      <c r="H447">
        <v>900.24</v>
      </c>
      <c r="I447" t="s">
        <v>14</v>
      </c>
      <c r="J447" s="1">
        <v>44671</v>
      </c>
      <c r="K447" t="s">
        <v>84</v>
      </c>
    </row>
    <row r="448" spans="1:11" x14ac:dyDescent="0.3">
      <c r="A448" t="s">
        <v>925</v>
      </c>
      <c r="B448" t="s">
        <v>926</v>
      </c>
      <c r="C448" t="s">
        <v>12</v>
      </c>
      <c r="D448">
        <v>69</v>
      </c>
      <c r="E448" s="20" t="str">
        <f t="shared" si="6"/>
        <v>60+</v>
      </c>
      <c r="F448" t="s">
        <v>31</v>
      </c>
      <c r="G448">
        <v>3</v>
      </c>
      <c r="H448">
        <v>3150</v>
      </c>
      <c r="I448" t="s">
        <v>14</v>
      </c>
      <c r="J448" s="1">
        <v>44620</v>
      </c>
      <c r="K448" t="s">
        <v>43</v>
      </c>
    </row>
    <row r="449" spans="1:11" x14ac:dyDescent="0.3">
      <c r="A449" t="s">
        <v>927</v>
      </c>
      <c r="B449" t="s">
        <v>928</v>
      </c>
      <c r="C449" t="s">
        <v>12</v>
      </c>
      <c r="D449">
        <v>36</v>
      </c>
      <c r="E449" s="20" t="str">
        <f t="shared" si="6"/>
        <v>36-45</v>
      </c>
      <c r="F449" t="s">
        <v>31</v>
      </c>
      <c r="G449">
        <v>4</v>
      </c>
      <c r="H449">
        <v>4200</v>
      </c>
      <c r="I449" t="s">
        <v>28</v>
      </c>
      <c r="J449" s="1">
        <v>44921</v>
      </c>
      <c r="K449" t="s">
        <v>43</v>
      </c>
    </row>
    <row r="450" spans="1:11" x14ac:dyDescent="0.3">
      <c r="A450" t="s">
        <v>929</v>
      </c>
      <c r="B450" t="s">
        <v>930</v>
      </c>
      <c r="C450" t="s">
        <v>22</v>
      </c>
      <c r="D450">
        <v>35</v>
      </c>
      <c r="E450" s="20" t="str">
        <f t="shared" si="6"/>
        <v>26-35</v>
      </c>
      <c r="F450" t="s">
        <v>13</v>
      </c>
      <c r="G450">
        <v>1</v>
      </c>
      <c r="H450">
        <v>300.08</v>
      </c>
      <c r="I450" t="s">
        <v>14</v>
      </c>
      <c r="J450" s="1">
        <v>44763</v>
      </c>
      <c r="K450" t="s">
        <v>34</v>
      </c>
    </row>
    <row r="451" spans="1:11" x14ac:dyDescent="0.3">
      <c r="A451" t="s">
        <v>931</v>
      </c>
      <c r="B451" t="s">
        <v>932</v>
      </c>
      <c r="C451" t="s">
        <v>22</v>
      </c>
      <c r="D451">
        <v>45</v>
      </c>
      <c r="E451" s="20" t="str">
        <f t="shared" ref="E451:E514" si="7">IF(D451&lt;18,"Below 18",IF(D451&lt;=25,"18-25",IF(D451&lt;=35,"26-35",IF(D451&lt;=45,"36-45",IF(D451&lt;=60,"46-60","60+")))))</f>
        <v>36-45</v>
      </c>
      <c r="F451" t="s">
        <v>13</v>
      </c>
      <c r="G451">
        <v>5</v>
      </c>
      <c r="H451">
        <v>1500.4</v>
      </c>
      <c r="I451" t="s">
        <v>14</v>
      </c>
      <c r="J451" s="1">
        <v>44572</v>
      </c>
      <c r="K451" t="s">
        <v>40</v>
      </c>
    </row>
    <row r="452" spans="1:11" x14ac:dyDescent="0.3">
      <c r="A452" t="s">
        <v>933</v>
      </c>
      <c r="B452" t="s">
        <v>934</v>
      </c>
      <c r="C452" t="s">
        <v>22</v>
      </c>
      <c r="D452">
        <v>23</v>
      </c>
      <c r="E452" s="20" t="str">
        <f t="shared" si="7"/>
        <v>18-25</v>
      </c>
      <c r="F452" t="s">
        <v>13</v>
      </c>
      <c r="G452">
        <v>2</v>
      </c>
      <c r="H452">
        <v>600.16</v>
      </c>
      <c r="I452" t="s">
        <v>28</v>
      </c>
      <c r="J452" s="1">
        <v>44363</v>
      </c>
      <c r="K452" t="s">
        <v>34</v>
      </c>
    </row>
    <row r="453" spans="1:11" x14ac:dyDescent="0.3">
      <c r="A453" t="s">
        <v>935</v>
      </c>
      <c r="B453" t="s">
        <v>936</v>
      </c>
      <c r="C453" t="s">
        <v>22</v>
      </c>
      <c r="D453">
        <v>36</v>
      </c>
      <c r="E453" s="20" t="str">
        <f t="shared" si="7"/>
        <v>36-45</v>
      </c>
      <c r="F453" t="s">
        <v>13</v>
      </c>
      <c r="G453">
        <v>2</v>
      </c>
      <c r="H453">
        <v>600.16</v>
      </c>
      <c r="I453" t="s">
        <v>14</v>
      </c>
      <c r="J453" s="1">
        <v>44833</v>
      </c>
      <c r="K453" t="s">
        <v>15</v>
      </c>
    </row>
    <row r="454" spans="1:11" x14ac:dyDescent="0.3">
      <c r="A454" t="s">
        <v>937</v>
      </c>
      <c r="B454" t="s">
        <v>938</v>
      </c>
      <c r="C454" t="s">
        <v>22</v>
      </c>
      <c r="D454">
        <v>54</v>
      </c>
      <c r="E454" s="20" t="str">
        <f t="shared" si="7"/>
        <v>46-60</v>
      </c>
      <c r="F454" t="s">
        <v>59</v>
      </c>
      <c r="G454">
        <v>4</v>
      </c>
      <c r="H454">
        <v>143.36000000000001</v>
      </c>
      <c r="I454" t="s">
        <v>14</v>
      </c>
      <c r="J454" s="1">
        <v>44746</v>
      </c>
      <c r="K454" t="s">
        <v>60</v>
      </c>
    </row>
    <row r="455" spans="1:11" x14ac:dyDescent="0.3">
      <c r="A455" t="s">
        <v>939</v>
      </c>
      <c r="B455" t="s">
        <v>940</v>
      </c>
      <c r="C455" t="s">
        <v>22</v>
      </c>
      <c r="D455">
        <v>45</v>
      </c>
      <c r="E455" s="20" t="str">
        <f t="shared" si="7"/>
        <v>36-45</v>
      </c>
      <c r="F455" t="s">
        <v>13</v>
      </c>
      <c r="G455">
        <v>4</v>
      </c>
      <c r="H455">
        <v>1200.32</v>
      </c>
      <c r="I455" t="s">
        <v>14</v>
      </c>
      <c r="J455" s="1">
        <v>44383</v>
      </c>
      <c r="K455" t="s">
        <v>34</v>
      </c>
    </row>
    <row r="456" spans="1:11" x14ac:dyDescent="0.3">
      <c r="A456" t="s">
        <v>941</v>
      </c>
      <c r="B456" t="s">
        <v>942</v>
      </c>
      <c r="C456" t="s">
        <v>22</v>
      </c>
      <c r="D456">
        <v>54</v>
      </c>
      <c r="E456" s="20" t="str">
        <f t="shared" si="7"/>
        <v>46-60</v>
      </c>
      <c r="F456" t="s">
        <v>56</v>
      </c>
      <c r="G456">
        <v>3</v>
      </c>
      <c r="H456">
        <v>35.19</v>
      </c>
      <c r="I456" t="s">
        <v>28</v>
      </c>
      <c r="J456" s="1">
        <v>44412</v>
      </c>
      <c r="K456" t="s">
        <v>43</v>
      </c>
    </row>
    <row r="457" spans="1:11" x14ac:dyDescent="0.3">
      <c r="A457" t="s">
        <v>943</v>
      </c>
      <c r="B457" t="s">
        <v>944</v>
      </c>
      <c r="C457" t="s">
        <v>22</v>
      </c>
      <c r="D457">
        <v>59</v>
      </c>
      <c r="E457" s="20" t="str">
        <f t="shared" si="7"/>
        <v>46-60</v>
      </c>
      <c r="F457" t="s">
        <v>59</v>
      </c>
      <c r="G457">
        <v>2</v>
      </c>
      <c r="H457">
        <v>71.680000000000007</v>
      </c>
      <c r="I457" t="s">
        <v>14</v>
      </c>
      <c r="J457" s="1">
        <v>44687</v>
      </c>
      <c r="K457" t="s">
        <v>84</v>
      </c>
    </row>
    <row r="458" spans="1:11" x14ac:dyDescent="0.3">
      <c r="A458" t="s">
        <v>945</v>
      </c>
      <c r="B458" t="s">
        <v>946</v>
      </c>
      <c r="C458" t="s">
        <v>22</v>
      </c>
      <c r="D458">
        <v>29</v>
      </c>
      <c r="E458" s="20" t="str">
        <f t="shared" si="7"/>
        <v>26-35</v>
      </c>
      <c r="F458" t="s">
        <v>27</v>
      </c>
      <c r="G458">
        <v>1</v>
      </c>
      <c r="H458">
        <v>15.15</v>
      </c>
      <c r="I458" t="s">
        <v>28</v>
      </c>
      <c r="J458" s="1">
        <v>44941</v>
      </c>
      <c r="K458" t="s">
        <v>34</v>
      </c>
    </row>
    <row r="459" spans="1:11" x14ac:dyDescent="0.3">
      <c r="A459" t="s">
        <v>947</v>
      </c>
      <c r="B459" t="s">
        <v>948</v>
      </c>
      <c r="C459" t="s">
        <v>22</v>
      </c>
      <c r="D459">
        <v>54</v>
      </c>
      <c r="E459" s="20" t="str">
        <f t="shared" si="7"/>
        <v>46-60</v>
      </c>
      <c r="F459" t="s">
        <v>27</v>
      </c>
      <c r="G459">
        <v>2</v>
      </c>
      <c r="H459">
        <v>30.3</v>
      </c>
      <c r="I459" t="s">
        <v>14</v>
      </c>
      <c r="J459" s="1">
        <v>44575</v>
      </c>
      <c r="K459" t="s">
        <v>19</v>
      </c>
    </row>
    <row r="460" spans="1:11" x14ac:dyDescent="0.3">
      <c r="A460" t="s">
        <v>949</v>
      </c>
      <c r="B460" t="s">
        <v>950</v>
      </c>
      <c r="C460" t="s">
        <v>12</v>
      </c>
      <c r="D460">
        <v>56</v>
      </c>
      <c r="E460" s="20" t="str">
        <f t="shared" si="7"/>
        <v>46-60</v>
      </c>
      <c r="F460" t="s">
        <v>59</v>
      </c>
      <c r="G460">
        <v>1</v>
      </c>
      <c r="H460">
        <v>35.840000000000003</v>
      </c>
      <c r="I460" t="s">
        <v>28</v>
      </c>
      <c r="J460" s="1">
        <v>44634</v>
      </c>
      <c r="K460" t="s">
        <v>40</v>
      </c>
    </row>
    <row r="461" spans="1:11" x14ac:dyDescent="0.3">
      <c r="A461" t="s">
        <v>951</v>
      </c>
      <c r="B461" t="s">
        <v>952</v>
      </c>
      <c r="C461" t="s">
        <v>22</v>
      </c>
      <c r="D461">
        <v>52</v>
      </c>
      <c r="E461" s="20" t="str">
        <f t="shared" si="7"/>
        <v>46-60</v>
      </c>
      <c r="F461" t="s">
        <v>13</v>
      </c>
      <c r="G461">
        <v>2</v>
      </c>
      <c r="H461">
        <v>600.16</v>
      </c>
      <c r="I461" t="s">
        <v>23</v>
      </c>
      <c r="J461" s="1">
        <v>44438</v>
      </c>
      <c r="K461" t="s">
        <v>24</v>
      </c>
    </row>
    <row r="462" spans="1:11" x14ac:dyDescent="0.3">
      <c r="A462" t="s">
        <v>953</v>
      </c>
      <c r="B462" t="s">
        <v>954</v>
      </c>
      <c r="C462" t="s">
        <v>12</v>
      </c>
      <c r="D462">
        <v>52</v>
      </c>
      <c r="E462" s="20" t="str">
        <f t="shared" si="7"/>
        <v>46-60</v>
      </c>
      <c r="F462" t="s">
        <v>13</v>
      </c>
      <c r="G462">
        <v>4</v>
      </c>
      <c r="H462">
        <v>1200.32</v>
      </c>
      <c r="I462" t="s">
        <v>14</v>
      </c>
      <c r="J462" s="1">
        <v>44728</v>
      </c>
      <c r="K462" t="s">
        <v>43</v>
      </c>
    </row>
    <row r="463" spans="1:11" x14ac:dyDescent="0.3">
      <c r="A463" t="s">
        <v>955</v>
      </c>
      <c r="B463" t="s">
        <v>956</v>
      </c>
      <c r="C463" t="s">
        <v>22</v>
      </c>
      <c r="D463">
        <v>48</v>
      </c>
      <c r="E463" s="20" t="str">
        <f t="shared" si="7"/>
        <v>46-60</v>
      </c>
      <c r="F463" t="s">
        <v>37</v>
      </c>
      <c r="G463">
        <v>2</v>
      </c>
      <c r="H463">
        <v>10.46</v>
      </c>
      <c r="I463" t="s">
        <v>14</v>
      </c>
      <c r="J463" s="1">
        <v>44674</v>
      </c>
      <c r="K463" t="s">
        <v>84</v>
      </c>
    </row>
    <row r="464" spans="1:11" x14ac:dyDescent="0.3">
      <c r="A464" t="s">
        <v>957</v>
      </c>
      <c r="B464" t="s">
        <v>958</v>
      </c>
      <c r="C464" t="s">
        <v>12</v>
      </c>
      <c r="D464">
        <v>58</v>
      </c>
      <c r="E464" s="20" t="str">
        <f t="shared" si="7"/>
        <v>46-60</v>
      </c>
      <c r="F464" t="s">
        <v>37</v>
      </c>
      <c r="G464">
        <v>4</v>
      </c>
      <c r="H464">
        <v>20.92</v>
      </c>
      <c r="I464" t="s">
        <v>28</v>
      </c>
      <c r="J464" s="1">
        <v>44475</v>
      </c>
      <c r="K464" t="s">
        <v>43</v>
      </c>
    </row>
    <row r="465" spans="1:11" x14ac:dyDescent="0.3">
      <c r="A465" t="s">
        <v>959</v>
      </c>
      <c r="B465" t="s">
        <v>960</v>
      </c>
      <c r="C465" t="s">
        <v>22</v>
      </c>
      <c r="D465">
        <v>43</v>
      </c>
      <c r="E465" s="20" t="str">
        <f t="shared" si="7"/>
        <v>36-45</v>
      </c>
      <c r="F465" t="s">
        <v>13</v>
      </c>
      <c r="G465">
        <v>4</v>
      </c>
      <c r="H465">
        <v>1200.32</v>
      </c>
      <c r="I465" t="s">
        <v>14</v>
      </c>
      <c r="J465" s="1">
        <v>44407</v>
      </c>
      <c r="K465" t="s">
        <v>43</v>
      </c>
    </row>
    <row r="466" spans="1:11" x14ac:dyDescent="0.3">
      <c r="A466" t="s">
        <v>961</v>
      </c>
      <c r="B466" t="s">
        <v>962</v>
      </c>
      <c r="C466" t="s">
        <v>22</v>
      </c>
      <c r="D466">
        <v>37</v>
      </c>
      <c r="E466" s="20" t="str">
        <f t="shared" si="7"/>
        <v>36-45</v>
      </c>
      <c r="F466" t="s">
        <v>59</v>
      </c>
      <c r="G466">
        <v>4</v>
      </c>
      <c r="H466">
        <v>143.36000000000001</v>
      </c>
      <c r="I466" t="s">
        <v>14</v>
      </c>
      <c r="J466" s="1">
        <v>44660</v>
      </c>
      <c r="K466" t="s">
        <v>24</v>
      </c>
    </row>
    <row r="467" spans="1:11" x14ac:dyDescent="0.3">
      <c r="A467" t="s">
        <v>963</v>
      </c>
      <c r="B467" t="s">
        <v>964</v>
      </c>
      <c r="C467" t="s">
        <v>22</v>
      </c>
      <c r="D467">
        <v>32</v>
      </c>
      <c r="E467" s="20" t="str">
        <f t="shared" si="7"/>
        <v>26-35</v>
      </c>
      <c r="F467" t="s">
        <v>13</v>
      </c>
      <c r="G467">
        <v>1</v>
      </c>
      <c r="H467">
        <v>300.08</v>
      </c>
      <c r="I467" t="s">
        <v>23</v>
      </c>
      <c r="J467" s="1">
        <v>44267</v>
      </c>
      <c r="K467" t="s">
        <v>43</v>
      </c>
    </row>
    <row r="468" spans="1:11" x14ac:dyDescent="0.3">
      <c r="A468" t="s">
        <v>965</v>
      </c>
      <c r="B468" t="s">
        <v>966</v>
      </c>
      <c r="C468" t="s">
        <v>12</v>
      </c>
      <c r="D468">
        <v>54</v>
      </c>
      <c r="E468" s="20" t="str">
        <f t="shared" si="7"/>
        <v>46-60</v>
      </c>
      <c r="F468" t="s">
        <v>13</v>
      </c>
      <c r="G468">
        <v>5</v>
      </c>
      <c r="H468">
        <v>1500.4</v>
      </c>
      <c r="I468" t="s">
        <v>23</v>
      </c>
      <c r="J468" s="1">
        <v>44648</v>
      </c>
      <c r="K468" t="s">
        <v>53</v>
      </c>
    </row>
    <row r="469" spans="1:11" x14ac:dyDescent="0.3">
      <c r="A469" t="s">
        <v>967</v>
      </c>
      <c r="B469" t="s">
        <v>968</v>
      </c>
      <c r="C469" t="s">
        <v>22</v>
      </c>
      <c r="D469">
        <v>69</v>
      </c>
      <c r="E469" s="20" t="str">
        <f t="shared" si="7"/>
        <v>60+</v>
      </c>
      <c r="F469" t="s">
        <v>13</v>
      </c>
      <c r="G469">
        <v>3</v>
      </c>
      <c r="H469">
        <v>900.24</v>
      </c>
      <c r="I469" t="s">
        <v>14</v>
      </c>
      <c r="J469" s="1">
        <v>44491</v>
      </c>
      <c r="K469" t="s">
        <v>40</v>
      </c>
    </row>
    <row r="470" spans="1:11" x14ac:dyDescent="0.3">
      <c r="A470" t="s">
        <v>969</v>
      </c>
      <c r="B470" t="s">
        <v>970</v>
      </c>
      <c r="C470" t="s">
        <v>22</v>
      </c>
      <c r="D470">
        <v>24</v>
      </c>
      <c r="E470" s="20" t="str">
        <f t="shared" si="7"/>
        <v>18-25</v>
      </c>
      <c r="F470" t="s">
        <v>13</v>
      </c>
      <c r="G470">
        <v>5</v>
      </c>
      <c r="H470">
        <v>1500.4</v>
      </c>
      <c r="I470" t="s">
        <v>14</v>
      </c>
      <c r="J470" s="1">
        <v>44791</v>
      </c>
      <c r="K470" t="s">
        <v>53</v>
      </c>
    </row>
    <row r="471" spans="1:11" x14ac:dyDescent="0.3">
      <c r="A471" t="s">
        <v>971</v>
      </c>
      <c r="B471" t="s">
        <v>972</v>
      </c>
      <c r="C471" t="s">
        <v>22</v>
      </c>
      <c r="D471">
        <v>60</v>
      </c>
      <c r="E471" s="20" t="str">
        <f t="shared" si="7"/>
        <v>46-60</v>
      </c>
      <c r="F471" t="s">
        <v>31</v>
      </c>
      <c r="G471">
        <v>5</v>
      </c>
      <c r="H471">
        <v>5250</v>
      </c>
      <c r="I471" t="s">
        <v>14</v>
      </c>
      <c r="J471" s="1">
        <v>44700</v>
      </c>
      <c r="K471" t="s">
        <v>40</v>
      </c>
    </row>
    <row r="472" spans="1:11" x14ac:dyDescent="0.3">
      <c r="A472" t="s">
        <v>973</v>
      </c>
      <c r="B472" t="s">
        <v>974</v>
      </c>
      <c r="C472" t="s">
        <v>22</v>
      </c>
      <c r="D472">
        <v>20</v>
      </c>
      <c r="E472" s="20" t="str">
        <f t="shared" si="7"/>
        <v>18-25</v>
      </c>
      <c r="F472" t="s">
        <v>59</v>
      </c>
      <c r="G472">
        <v>5</v>
      </c>
      <c r="H472">
        <v>179.2</v>
      </c>
      <c r="I472" t="s">
        <v>23</v>
      </c>
      <c r="J472" s="1">
        <v>44213</v>
      </c>
      <c r="K472" t="s">
        <v>34</v>
      </c>
    </row>
    <row r="473" spans="1:11" x14ac:dyDescent="0.3">
      <c r="A473" t="s">
        <v>975</v>
      </c>
      <c r="B473" t="s">
        <v>976</v>
      </c>
      <c r="C473" t="s">
        <v>12</v>
      </c>
      <c r="D473">
        <v>56</v>
      </c>
      <c r="E473" s="20" t="str">
        <f t="shared" si="7"/>
        <v>46-60</v>
      </c>
      <c r="F473" t="s">
        <v>59</v>
      </c>
      <c r="G473">
        <v>3</v>
      </c>
      <c r="H473">
        <v>107.52</v>
      </c>
      <c r="I473" t="s">
        <v>14</v>
      </c>
      <c r="J473" s="1">
        <v>44743</v>
      </c>
      <c r="K473" t="s">
        <v>73</v>
      </c>
    </row>
    <row r="474" spans="1:11" x14ac:dyDescent="0.3">
      <c r="A474" t="s">
        <v>977</v>
      </c>
      <c r="B474" t="s">
        <v>978</v>
      </c>
      <c r="C474" t="s">
        <v>22</v>
      </c>
      <c r="D474">
        <v>39</v>
      </c>
      <c r="E474" s="20" t="str">
        <f t="shared" si="7"/>
        <v>36-45</v>
      </c>
      <c r="F474" t="s">
        <v>18</v>
      </c>
      <c r="G474">
        <v>4</v>
      </c>
      <c r="H474">
        <v>162.63999999999999</v>
      </c>
      <c r="I474" t="s">
        <v>28</v>
      </c>
      <c r="J474" s="1">
        <v>44986</v>
      </c>
      <c r="K474" t="s">
        <v>84</v>
      </c>
    </row>
    <row r="475" spans="1:11" x14ac:dyDescent="0.3">
      <c r="A475" t="s">
        <v>979</v>
      </c>
      <c r="B475" t="s">
        <v>980</v>
      </c>
      <c r="C475" t="s">
        <v>22</v>
      </c>
      <c r="D475">
        <v>66</v>
      </c>
      <c r="E475" s="20" t="str">
        <f t="shared" si="7"/>
        <v>60+</v>
      </c>
      <c r="F475" t="s">
        <v>59</v>
      </c>
      <c r="G475">
        <v>2</v>
      </c>
      <c r="H475">
        <v>71.680000000000007</v>
      </c>
      <c r="I475" t="s">
        <v>28</v>
      </c>
      <c r="J475" s="1">
        <v>44902</v>
      </c>
      <c r="K475" t="s">
        <v>15</v>
      </c>
    </row>
    <row r="476" spans="1:11" x14ac:dyDescent="0.3">
      <c r="A476" t="s">
        <v>981</v>
      </c>
      <c r="B476" t="s">
        <v>982</v>
      </c>
      <c r="C476" t="s">
        <v>22</v>
      </c>
      <c r="D476">
        <v>26</v>
      </c>
      <c r="E476" s="20" t="str">
        <f t="shared" si="7"/>
        <v>26-35</v>
      </c>
      <c r="F476" t="s">
        <v>56</v>
      </c>
      <c r="G476">
        <v>1</v>
      </c>
      <c r="H476">
        <v>11.73</v>
      </c>
      <c r="I476" t="s">
        <v>28</v>
      </c>
      <c r="J476" s="1">
        <v>44506</v>
      </c>
      <c r="K476" t="s">
        <v>73</v>
      </c>
    </row>
    <row r="477" spans="1:11" x14ac:dyDescent="0.3">
      <c r="A477" t="s">
        <v>983</v>
      </c>
      <c r="B477" t="s">
        <v>984</v>
      </c>
      <c r="C477" t="s">
        <v>22</v>
      </c>
      <c r="D477">
        <v>58</v>
      </c>
      <c r="E477" s="20" t="str">
        <f t="shared" si="7"/>
        <v>46-60</v>
      </c>
      <c r="F477" t="s">
        <v>13</v>
      </c>
      <c r="G477">
        <v>3</v>
      </c>
      <c r="H477">
        <v>900.24</v>
      </c>
      <c r="I477" t="s">
        <v>23</v>
      </c>
      <c r="J477" s="1">
        <v>44543</v>
      </c>
      <c r="K477" t="s">
        <v>84</v>
      </c>
    </row>
    <row r="478" spans="1:11" x14ac:dyDescent="0.3">
      <c r="A478" t="s">
        <v>985</v>
      </c>
      <c r="B478" t="s">
        <v>986</v>
      </c>
      <c r="C478" t="s">
        <v>22</v>
      </c>
      <c r="D478">
        <v>48</v>
      </c>
      <c r="E478" s="20" t="str">
        <f t="shared" si="7"/>
        <v>46-60</v>
      </c>
      <c r="F478" t="s">
        <v>18</v>
      </c>
      <c r="G478">
        <v>2</v>
      </c>
      <c r="H478">
        <v>81.319999999999993</v>
      </c>
      <c r="I478" t="s">
        <v>28</v>
      </c>
      <c r="J478" s="1">
        <v>44240</v>
      </c>
      <c r="K478" t="s">
        <v>34</v>
      </c>
    </row>
    <row r="479" spans="1:11" x14ac:dyDescent="0.3">
      <c r="A479" t="s">
        <v>987</v>
      </c>
      <c r="B479" t="s">
        <v>988</v>
      </c>
      <c r="C479" t="s">
        <v>22</v>
      </c>
      <c r="D479">
        <v>45</v>
      </c>
      <c r="E479" s="20" t="str">
        <f t="shared" si="7"/>
        <v>36-45</v>
      </c>
      <c r="F479" t="s">
        <v>48</v>
      </c>
      <c r="G479">
        <v>2</v>
      </c>
      <c r="H479">
        <v>1200.3399999999999</v>
      </c>
      <c r="I479" t="s">
        <v>28</v>
      </c>
      <c r="J479" s="1">
        <v>44975</v>
      </c>
      <c r="K479" t="s">
        <v>34</v>
      </c>
    </row>
    <row r="480" spans="1:11" x14ac:dyDescent="0.3">
      <c r="A480" t="s">
        <v>989</v>
      </c>
      <c r="B480" t="s">
        <v>990</v>
      </c>
      <c r="C480" t="s">
        <v>22</v>
      </c>
      <c r="D480">
        <v>45</v>
      </c>
      <c r="E480" s="20" t="str">
        <f t="shared" si="7"/>
        <v>36-45</v>
      </c>
      <c r="F480" t="s">
        <v>59</v>
      </c>
      <c r="G480">
        <v>3</v>
      </c>
      <c r="H480">
        <v>107.52</v>
      </c>
      <c r="I480" t="s">
        <v>23</v>
      </c>
      <c r="J480" s="1">
        <v>44397</v>
      </c>
      <c r="K480" t="s">
        <v>40</v>
      </c>
    </row>
    <row r="481" spans="1:11" x14ac:dyDescent="0.3">
      <c r="A481" t="s">
        <v>991</v>
      </c>
      <c r="B481" t="s">
        <v>992</v>
      </c>
      <c r="C481" t="s">
        <v>22</v>
      </c>
      <c r="D481">
        <v>45</v>
      </c>
      <c r="E481" s="20" t="str">
        <f t="shared" si="7"/>
        <v>36-45</v>
      </c>
      <c r="F481" t="s">
        <v>13</v>
      </c>
      <c r="G481">
        <v>2</v>
      </c>
      <c r="H481">
        <v>600.16</v>
      </c>
      <c r="I481" t="s">
        <v>23</v>
      </c>
      <c r="J481" s="1">
        <v>44557</v>
      </c>
      <c r="K481" t="s">
        <v>34</v>
      </c>
    </row>
    <row r="482" spans="1:11" x14ac:dyDescent="0.3">
      <c r="A482" t="s">
        <v>993</v>
      </c>
      <c r="B482" t="s">
        <v>994</v>
      </c>
      <c r="C482" t="s">
        <v>22</v>
      </c>
      <c r="D482">
        <v>41</v>
      </c>
      <c r="E482" s="20" t="str">
        <f t="shared" si="7"/>
        <v>36-45</v>
      </c>
      <c r="F482" t="s">
        <v>13</v>
      </c>
      <c r="G482">
        <v>2</v>
      </c>
      <c r="H482">
        <v>600.16</v>
      </c>
      <c r="I482" t="s">
        <v>14</v>
      </c>
      <c r="J482" s="1">
        <v>44409</v>
      </c>
      <c r="K482" t="s">
        <v>15</v>
      </c>
    </row>
    <row r="483" spans="1:11" x14ac:dyDescent="0.3">
      <c r="A483" t="s">
        <v>995</v>
      </c>
      <c r="B483" t="s">
        <v>996</v>
      </c>
      <c r="C483" t="s">
        <v>22</v>
      </c>
      <c r="D483">
        <v>25</v>
      </c>
      <c r="E483" s="20" t="str">
        <f t="shared" si="7"/>
        <v>18-25</v>
      </c>
      <c r="F483" t="s">
        <v>18</v>
      </c>
      <c r="G483">
        <v>5</v>
      </c>
      <c r="H483">
        <v>203.3</v>
      </c>
      <c r="I483" t="s">
        <v>23</v>
      </c>
      <c r="J483" s="1">
        <v>44717</v>
      </c>
      <c r="K483" t="s">
        <v>43</v>
      </c>
    </row>
    <row r="484" spans="1:11" x14ac:dyDescent="0.3">
      <c r="A484" t="s">
        <v>997</v>
      </c>
      <c r="B484" t="s">
        <v>998</v>
      </c>
      <c r="C484" t="s">
        <v>12</v>
      </c>
      <c r="D484">
        <v>21</v>
      </c>
      <c r="E484" s="20" t="str">
        <f t="shared" si="7"/>
        <v>18-25</v>
      </c>
      <c r="F484" t="s">
        <v>59</v>
      </c>
      <c r="G484">
        <v>2</v>
      </c>
      <c r="H484">
        <v>71.680000000000007</v>
      </c>
      <c r="I484" t="s">
        <v>28</v>
      </c>
      <c r="J484" s="1">
        <v>44756</v>
      </c>
      <c r="K484" t="s">
        <v>15</v>
      </c>
    </row>
    <row r="485" spans="1:11" x14ac:dyDescent="0.3">
      <c r="A485" t="s">
        <v>999</v>
      </c>
      <c r="B485" t="s">
        <v>1000</v>
      </c>
      <c r="C485" t="s">
        <v>22</v>
      </c>
      <c r="D485">
        <v>50</v>
      </c>
      <c r="E485" s="20" t="str">
        <f t="shared" si="7"/>
        <v>46-60</v>
      </c>
      <c r="F485" t="s">
        <v>13</v>
      </c>
      <c r="G485">
        <v>4</v>
      </c>
      <c r="H485">
        <v>1200.32</v>
      </c>
      <c r="I485" t="s">
        <v>14</v>
      </c>
      <c r="J485" s="1">
        <v>44871</v>
      </c>
      <c r="K485" t="s">
        <v>60</v>
      </c>
    </row>
    <row r="486" spans="1:11" x14ac:dyDescent="0.3">
      <c r="A486" t="s">
        <v>1001</v>
      </c>
      <c r="B486" t="s">
        <v>1002</v>
      </c>
      <c r="C486" t="s">
        <v>22</v>
      </c>
      <c r="D486">
        <v>57</v>
      </c>
      <c r="E486" s="20" t="str">
        <f t="shared" si="7"/>
        <v>46-60</v>
      </c>
      <c r="F486" t="s">
        <v>18</v>
      </c>
      <c r="G486">
        <v>4</v>
      </c>
      <c r="H486">
        <v>162.63999999999999</v>
      </c>
      <c r="I486" t="s">
        <v>14</v>
      </c>
      <c r="J486" s="1">
        <v>44770</v>
      </c>
      <c r="K486" t="s">
        <v>73</v>
      </c>
    </row>
    <row r="487" spans="1:11" x14ac:dyDescent="0.3">
      <c r="A487" t="s">
        <v>1003</v>
      </c>
      <c r="B487" t="s">
        <v>1004</v>
      </c>
      <c r="C487" t="s">
        <v>22</v>
      </c>
      <c r="D487">
        <v>32</v>
      </c>
      <c r="E487" s="20" t="str">
        <f t="shared" si="7"/>
        <v>26-35</v>
      </c>
      <c r="F487" t="s">
        <v>37</v>
      </c>
      <c r="G487">
        <v>2</v>
      </c>
      <c r="H487">
        <v>10.46</v>
      </c>
      <c r="I487" t="s">
        <v>28</v>
      </c>
      <c r="J487" s="1">
        <v>44959</v>
      </c>
      <c r="K487" t="s">
        <v>43</v>
      </c>
    </row>
    <row r="488" spans="1:11" x14ac:dyDescent="0.3">
      <c r="A488" t="s">
        <v>1005</v>
      </c>
      <c r="B488" t="s">
        <v>1006</v>
      </c>
      <c r="C488" t="s">
        <v>12</v>
      </c>
      <c r="D488">
        <v>58</v>
      </c>
      <c r="E488" s="20" t="str">
        <f t="shared" si="7"/>
        <v>46-60</v>
      </c>
      <c r="F488" t="s">
        <v>13</v>
      </c>
      <c r="G488">
        <v>1</v>
      </c>
      <c r="H488">
        <v>300.08</v>
      </c>
      <c r="I488" t="s">
        <v>23</v>
      </c>
      <c r="J488" s="1">
        <v>44420</v>
      </c>
      <c r="K488" t="s">
        <v>43</v>
      </c>
    </row>
    <row r="489" spans="1:11" x14ac:dyDescent="0.3">
      <c r="A489" t="s">
        <v>1007</v>
      </c>
      <c r="B489" t="s">
        <v>1008</v>
      </c>
      <c r="C489" t="s">
        <v>22</v>
      </c>
      <c r="D489">
        <v>61</v>
      </c>
      <c r="E489" s="20" t="str">
        <f t="shared" si="7"/>
        <v>60+</v>
      </c>
      <c r="F489" t="s">
        <v>27</v>
      </c>
      <c r="G489">
        <v>3</v>
      </c>
      <c r="H489">
        <v>45.45</v>
      </c>
      <c r="I489" t="s">
        <v>14</v>
      </c>
      <c r="J489" s="1">
        <v>44989</v>
      </c>
      <c r="K489" t="s">
        <v>34</v>
      </c>
    </row>
    <row r="490" spans="1:11" x14ac:dyDescent="0.3">
      <c r="A490" t="s">
        <v>1009</v>
      </c>
      <c r="B490" t="s">
        <v>1010</v>
      </c>
      <c r="C490" t="s">
        <v>12</v>
      </c>
      <c r="D490">
        <v>47</v>
      </c>
      <c r="E490" s="20" t="str">
        <f t="shared" si="7"/>
        <v>46-60</v>
      </c>
      <c r="F490" t="s">
        <v>13</v>
      </c>
      <c r="G490">
        <v>4</v>
      </c>
      <c r="H490">
        <v>1200.32</v>
      </c>
      <c r="I490" t="s">
        <v>23</v>
      </c>
      <c r="J490" s="1">
        <v>44289</v>
      </c>
      <c r="K490" t="s">
        <v>43</v>
      </c>
    </row>
    <row r="491" spans="1:11" x14ac:dyDescent="0.3">
      <c r="A491" t="s">
        <v>1011</v>
      </c>
      <c r="B491" t="s">
        <v>1012</v>
      </c>
      <c r="C491" t="s">
        <v>22</v>
      </c>
      <c r="D491">
        <v>65</v>
      </c>
      <c r="E491" s="20" t="str">
        <f t="shared" si="7"/>
        <v>60+</v>
      </c>
      <c r="F491" t="s">
        <v>27</v>
      </c>
      <c r="G491">
        <v>3</v>
      </c>
      <c r="H491">
        <v>45.45</v>
      </c>
      <c r="I491" t="s">
        <v>28</v>
      </c>
      <c r="J491" s="1">
        <v>44830</v>
      </c>
      <c r="K491" t="s">
        <v>24</v>
      </c>
    </row>
    <row r="492" spans="1:11" x14ac:dyDescent="0.3">
      <c r="A492" t="s">
        <v>1013</v>
      </c>
      <c r="B492" t="s">
        <v>1014</v>
      </c>
      <c r="C492" t="s">
        <v>22</v>
      </c>
      <c r="D492">
        <v>53</v>
      </c>
      <c r="E492" s="20" t="str">
        <f t="shared" si="7"/>
        <v>46-60</v>
      </c>
      <c r="F492" t="s">
        <v>31</v>
      </c>
      <c r="G492">
        <v>5</v>
      </c>
      <c r="H492">
        <v>5250</v>
      </c>
      <c r="I492" t="s">
        <v>14</v>
      </c>
      <c r="J492" s="1">
        <v>44572</v>
      </c>
      <c r="K492" t="s">
        <v>60</v>
      </c>
    </row>
    <row r="493" spans="1:11" x14ac:dyDescent="0.3">
      <c r="A493" t="s">
        <v>1015</v>
      </c>
      <c r="B493" t="s">
        <v>1016</v>
      </c>
      <c r="C493" t="s">
        <v>22</v>
      </c>
      <c r="D493">
        <v>63</v>
      </c>
      <c r="E493" s="20" t="str">
        <f t="shared" si="7"/>
        <v>60+</v>
      </c>
      <c r="F493" t="s">
        <v>13</v>
      </c>
      <c r="G493">
        <v>3</v>
      </c>
      <c r="H493">
        <v>900.24</v>
      </c>
      <c r="I493" t="s">
        <v>14</v>
      </c>
      <c r="J493" s="1">
        <v>44333</v>
      </c>
      <c r="K493" t="s">
        <v>43</v>
      </c>
    </row>
    <row r="494" spans="1:11" x14ac:dyDescent="0.3">
      <c r="A494" t="s">
        <v>1017</v>
      </c>
      <c r="B494" t="s">
        <v>1018</v>
      </c>
      <c r="C494" t="s">
        <v>22</v>
      </c>
      <c r="D494">
        <v>54</v>
      </c>
      <c r="E494" s="20" t="str">
        <f t="shared" si="7"/>
        <v>46-60</v>
      </c>
      <c r="F494" t="s">
        <v>27</v>
      </c>
      <c r="G494">
        <v>1</v>
      </c>
      <c r="H494">
        <v>15.15</v>
      </c>
      <c r="I494" t="s">
        <v>28</v>
      </c>
      <c r="J494" s="1">
        <v>44494</v>
      </c>
      <c r="K494" t="s">
        <v>43</v>
      </c>
    </row>
    <row r="495" spans="1:11" x14ac:dyDescent="0.3">
      <c r="A495" t="s">
        <v>1019</v>
      </c>
      <c r="B495" t="s">
        <v>1020</v>
      </c>
      <c r="C495" t="s">
        <v>22</v>
      </c>
      <c r="D495">
        <v>50</v>
      </c>
      <c r="E495" s="20" t="str">
        <f t="shared" si="7"/>
        <v>46-60</v>
      </c>
      <c r="F495" t="s">
        <v>48</v>
      </c>
      <c r="G495">
        <v>3</v>
      </c>
      <c r="H495">
        <v>1800.51</v>
      </c>
      <c r="I495" t="s">
        <v>14</v>
      </c>
      <c r="J495" s="1">
        <v>44416</v>
      </c>
      <c r="K495" t="s">
        <v>73</v>
      </c>
    </row>
    <row r="496" spans="1:11" x14ac:dyDescent="0.3">
      <c r="A496" t="s">
        <v>1021</v>
      </c>
      <c r="B496" t="s">
        <v>1022</v>
      </c>
      <c r="C496" t="s">
        <v>22</v>
      </c>
      <c r="D496">
        <v>43</v>
      </c>
      <c r="E496" s="20" t="str">
        <f t="shared" si="7"/>
        <v>36-45</v>
      </c>
      <c r="F496" t="s">
        <v>27</v>
      </c>
      <c r="G496">
        <v>5</v>
      </c>
      <c r="H496">
        <v>75.75</v>
      </c>
      <c r="I496" t="s">
        <v>14</v>
      </c>
      <c r="J496" s="1">
        <v>44438</v>
      </c>
      <c r="K496" t="s">
        <v>43</v>
      </c>
    </row>
    <row r="497" spans="1:11" x14ac:dyDescent="0.3">
      <c r="A497" t="s">
        <v>1023</v>
      </c>
      <c r="B497" t="s">
        <v>1024</v>
      </c>
      <c r="C497" t="s">
        <v>22</v>
      </c>
      <c r="D497">
        <v>59</v>
      </c>
      <c r="E497" s="20" t="str">
        <f t="shared" si="7"/>
        <v>46-60</v>
      </c>
      <c r="F497" t="s">
        <v>18</v>
      </c>
      <c r="G497">
        <v>2</v>
      </c>
      <c r="H497">
        <v>81.319999999999993</v>
      </c>
      <c r="I497" t="s">
        <v>28</v>
      </c>
      <c r="J497" s="1">
        <v>44407</v>
      </c>
      <c r="K497" t="s">
        <v>34</v>
      </c>
    </row>
    <row r="498" spans="1:11" x14ac:dyDescent="0.3">
      <c r="A498" t="s">
        <v>1025</v>
      </c>
      <c r="B498" t="s">
        <v>1026</v>
      </c>
      <c r="C498" t="s">
        <v>12</v>
      </c>
      <c r="D498">
        <v>67</v>
      </c>
      <c r="E498" s="20" t="str">
        <f t="shared" si="7"/>
        <v>60+</v>
      </c>
      <c r="F498" t="s">
        <v>59</v>
      </c>
      <c r="G498">
        <v>2</v>
      </c>
      <c r="H498">
        <v>71.680000000000007</v>
      </c>
      <c r="I498" t="s">
        <v>14</v>
      </c>
      <c r="J498" s="1">
        <v>44474</v>
      </c>
      <c r="K498" t="s">
        <v>43</v>
      </c>
    </row>
    <row r="499" spans="1:11" x14ac:dyDescent="0.3">
      <c r="A499" t="s">
        <v>1027</v>
      </c>
      <c r="B499" t="s">
        <v>1028</v>
      </c>
      <c r="C499" t="s">
        <v>22</v>
      </c>
      <c r="D499">
        <v>30</v>
      </c>
      <c r="E499" s="20" t="str">
        <f t="shared" si="7"/>
        <v>26-35</v>
      </c>
      <c r="F499" t="s">
        <v>13</v>
      </c>
      <c r="G499">
        <v>2</v>
      </c>
      <c r="H499">
        <v>600.16</v>
      </c>
      <c r="I499" t="s">
        <v>14</v>
      </c>
      <c r="J499" s="1">
        <v>44951</v>
      </c>
      <c r="K499" t="s">
        <v>24</v>
      </c>
    </row>
    <row r="500" spans="1:11" x14ac:dyDescent="0.3">
      <c r="A500" t="s">
        <v>1029</v>
      </c>
      <c r="B500" t="s">
        <v>1030</v>
      </c>
      <c r="C500" t="s">
        <v>12</v>
      </c>
      <c r="D500">
        <v>25</v>
      </c>
      <c r="E500" s="20" t="str">
        <f t="shared" si="7"/>
        <v>18-25</v>
      </c>
      <c r="F500" t="s">
        <v>13</v>
      </c>
      <c r="G500">
        <v>1</v>
      </c>
      <c r="H500">
        <v>300.08</v>
      </c>
      <c r="I500" t="s">
        <v>14</v>
      </c>
      <c r="J500" s="1">
        <v>44528</v>
      </c>
      <c r="K500" t="s">
        <v>24</v>
      </c>
    </row>
    <row r="501" spans="1:11" x14ac:dyDescent="0.3">
      <c r="A501" t="s">
        <v>1031</v>
      </c>
      <c r="B501" t="s">
        <v>1032</v>
      </c>
      <c r="C501" t="s">
        <v>12</v>
      </c>
      <c r="D501">
        <v>39</v>
      </c>
      <c r="E501" s="20" t="str">
        <f t="shared" si="7"/>
        <v>36-45</v>
      </c>
      <c r="F501" t="s">
        <v>59</v>
      </c>
      <c r="G501">
        <v>3</v>
      </c>
      <c r="H501">
        <v>107.52</v>
      </c>
      <c r="I501" t="s">
        <v>28</v>
      </c>
      <c r="J501" s="1">
        <v>44923</v>
      </c>
      <c r="K501" t="s">
        <v>34</v>
      </c>
    </row>
    <row r="502" spans="1:11" x14ac:dyDescent="0.3">
      <c r="A502" t="s">
        <v>1033</v>
      </c>
      <c r="B502" t="s">
        <v>1034</v>
      </c>
      <c r="C502" t="s">
        <v>12</v>
      </c>
      <c r="D502">
        <v>24</v>
      </c>
      <c r="E502" s="20" t="str">
        <f t="shared" si="7"/>
        <v>18-25</v>
      </c>
      <c r="F502" t="s">
        <v>13</v>
      </c>
      <c r="G502">
        <v>1</v>
      </c>
      <c r="H502">
        <v>300.08</v>
      </c>
      <c r="I502" t="s">
        <v>14</v>
      </c>
      <c r="J502" s="1">
        <v>44206</v>
      </c>
      <c r="K502" t="s">
        <v>43</v>
      </c>
    </row>
    <row r="503" spans="1:11" x14ac:dyDescent="0.3">
      <c r="A503" t="s">
        <v>1035</v>
      </c>
      <c r="B503" t="s">
        <v>1036</v>
      </c>
      <c r="C503" t="s">
        <v>22</v>
      </c>
      <c r="D503">
        <v>69</v>
      </c>
      <c r="E503" s="20" t="str">
        <f t="shared" si="7"/>
        <v>60+</v>
      </c>
      <c r="F503" t="s">
        <v>13</v>
      </c>
      <c r="G503">
        <v>4</v>
      </c>
      <c r="H503">
        <v>1200.32</v>
      </c>
      <c r="I503" t="s">
        <v>23</v>
      </c>
      <c r="J503" s="1">
        <v>44420</v>
      </c>
      <c r="K503" t="s">
        <v>43</v>
      </c>
    </row>
    <row r="504" spans="1:11" x14ac:dyDescent="0.3">
      <c r="A504" t="s">
        <v>1037</v>
      </c>
      <c r="B504" t="s">
        <v>1038</v>
      </c>
      <c r="C504" t="s">
        <v>22</v>
      </c>
      <c r="D504">
        <v>18</v>
      </c>
      <c r="E504" s="20" t="str">
        <f t="shared" si="7"/>
        <v>18-25</v>
      </c>
      <c r="F504" t="s">
        <v>56</v>
      </c>
      <c r="G504">
        <v>4</v>
      </c>
      <c r="H504">
        <v>46.92</v>
      </c>
      <c r="I504" t="s">
        <v>14</v>
      </c>
      <c r="J504" s="1">
        <v>44639</v>
      </c>
      <c r="K504" t="s">
        <v>43</v>
      </c>
    </row>
    <row r="505" spans="1:11" x14ac:dyDescent="0.3">
      <c r="A505" t="s">
        <v>1039</v>
      </c>
      <c r="B505" t="s">
        <v>1040</v>
      </c>
      <c r="C505" t="s">
        <v>12</v>
      </c>
      <c r="D505">
        <v>62</v>
      </c>
      <c r="E505" s="20" t="str">
        <f t="shared" si="7"/>
        <v>60+</v>
      </c>
      <c r="F505" t="s">
        <v>18</v>
      </c>
      <c r="G505">
        <v>3</v>
      </c>
      <c r="H505">
        <v>121.98</v>
      </c>
      <c r="I505" t="s">
        <v>14</v>
      </c>
      <c r="J505" s="1">
        <v>44484</v>
      </c>
      <c r="K505" t="s">
        <v>43</v>
      </c>
    </row>
    <row r="506" spans="1:11" x14ac:dyDescent="0.3">
      <c r="A506" t="s">
        <v>1041</v>
      </c>
      <c r="B506" t="s">
        <v>1042</v>
      </c>
      <c r="C506" t="s">
        <v>12</v>
      </c>
      <c r="D506">
        <v>59</v>
      </c>
      <c r="E506" s="20" t="str">
        <f t="shared" si="7"/>
        <v>46-60</v>
      </c>
      <c r="F506" t="s">
        <v>37</v>
      </c>
      <c r="G506">
        <v>2</v>
      </c>
      <c r="H506">
        <v>10.46</v>
      </c>
      <c r="I506" t="s">
        <v>23</v>
      </c>
      <c r="J506" s="1">
        <v>44799</v>
      </c>
      <c r="K506" t="s">
        <v>40</v>
      </c>
    </row>
    <row r="507" spans="1:11" x14ac:dyDescent="0.3">
      <c r="A507" t="s">
        <v>1043</v>
      </c>
      <c r="B507" t="s">
        <v>1044</v>
      </c>
      <c r="C507" t="s">
        <v>12</v>
      </c>
      <c r="D507">
        <v>41</v>
      </c>
      <c r="E507" s="20" t="str">
        <f t="shared" si="7"/>
        <v>36-45</v>
      </c>
      <c r="F507" t="s">
        <v>18</v>
      </c>
      <c r="G507">
        <v>3</v>
      </c>
      <c r="H507">
        <v>121.98</v>
      </c>
      <c r="I507" t="s">
        <v>14</v>
      </c>
      <c r="J507" s="1">
        <v>44464</v>
      </c>
      <c r="K507" t="s">
        <v>24</v>
      </c>
    </row>
    <row r="508" spans="1:11" x14ac:dyDescent="0.3">
      <c r="A508" t="s">
        <v>1045</v>
      </c>
      <c r="B508" t="s">
        <v>1046</v>
      </c>
      <c r="C508" t="s">
        <v>22</v>
      </c>
      <c r="D508">
        <v>19</v>
      </c>
      <c r="E508" s="20" t="str">
        <f t="shared" si="7"/>
        <v>18-25</v>
      </c>
      <c r="F508" t="s">
        <v>13</v>
      </c>
      <c r="G508">
        <v>1</v>
      </c>
      <c r="H508">
        <v>300.08</v>
      </c>
      <c r="I508" t="s">
        <v>23</v>
      </c>
      <c r="J508" s="1">
        <v>44631</v>
      </c>
      <c r="K508" t="s">
        <v>34</v>
      </c>
    </row>
    <row r="509" spans="1:11" x14ac:dyDescent="0.3">
      <c r="A509" t="s">
        <v>1047</v>
      </c>
      <c r="B509" t="s">
        <v>1048</v>
      </c>
      <c r="C509" t="s">
        <v>22</v>
      </c>
      <c r="D509">
        <v>18</v>
      </c>
      <c r="E509" s="20" t="str">
        <f t="shared" si="7"/>
        <v>18-25</v>
      </c>
      <c r="F509" t="s">
        <v>59</v>
      </c>
      <c r="G509">
        <v>5</v>
      </c>
      <c r="H509">
        <v>179.2</v>
      </c>
      <c r="I509" t="s">
        <v>14</v>
      </c>
      <c r="J509" s="1">
        <v>44715</v>
      </c>
      <c r="K509" t="s">
        <v>53</v>
      </c>
    </row>
    <row r="510" spans="1:11" x14ac:dyDescent="0.3">
      <c r="A510" t="s">
        <v>1049</v>
      </c>
      <c r="B510" t="s">
        <v>1050</v>
      </c>
      <c r="C510" t="s">
        <v>22</v>
      </c>
      <c r="D510">
        <v>27</v>
      </c>
      <c r="E510" s="20" t="str">
        <f t="shared" si="7"/>
        <v>26-35</v>
      </c>
      <c r="F510" t="s">
        <v>31</v>
      </c>
      <c r="G510">
        <v>2</v>
      </c>
      <c r="H510">
        <v>2100</v>
      </c>
      <c r="I510" t="s">
        <v>14</v>
      </c>
      <c r="J510" s="1">
        <v>44764</v>
      </c>
      <c r="K510" t="s">
        <v>34</v>
      </c>
    </row>
    <row r="511" spans="1:11" x14ac:dyDescent="0.3">
      <c r="A511" t="s">
        <v>1051</v>
      </c>
      <c r="B511" t="s">
        <v>1052</v>
      </c>
      <c r="C511" t="s">
        <v>12</v>
      </c>
      <c r="D511">
        <v>37</v>
      </c>
      <c r="E511" s="20" t="str">
        <f t="shared" si="7"/>
        <v>36-45</v>
      </c>
      <c r="F511" t="s">
        <v>59</v>
      </c>
      <c r="G511">
        <v>3</v>
      </c>
      <c r="H511">
        <v>107.52</v>
      </c>
      <c r="I511" t="s">
        <v>28</v>
      </c>
      <c r="J511" s="1">
        <v>44536</v>
      </c>
      <c r="K511" t="s">
        <v>73</v>
      </c>
    </row>
    <row r="512" spans="1:11" x14ac:dyDescent="0.3">
      <c r="A512" t="s">
        <v>1053</v>
      </c>
      <c r="B512" t="s">
        <v>1054</v>
      </c>
      <c r="C512" t="s">
        <v>22</v>
      </c>
      <c r="D512">
        <v>39</v>
      </c>
      <c r="E512" s="20" t="str">
        <f t="shared" si="7"/>
        <v>36-45</v>
      </c>
      <c r="F512" t="s">
        <v>13</v>
      </c>
      <c r="G512">
        <v>4</v>
      </c>
      <c r="H512">
        <v>1200.32</v>
      </c>
      <c r="I512" t="s">
        <v>23</v>
      </c>
      <c r="J512" s="1">
        <v>44491</v>
      </c>
      <c r="K512" t="s">
        <v>24</v>
      </c>
    </row>
    <row r="513" spans="1:11" x14ac:dyDescent="0.3">
      <c r="A513" t="s">
        <v>1055</v>
      </c>
      <c r="B513" t="s">
        <v>1056</v>
      </c>
      <c r="C513" t="s">
        <v>22</v>
      </c>
      <c r="D513">
        <v>63</v>
      </c>
      <c r="E513" s="20" t="str">
        <f t="shared" si="7"/>
        <v>60+</v>
      </c>
      <c r="F513" t="s">
        <v>13</v>
      </c>
      <c r="G513">
        <v>4</v>
      </c>
      <c r="H513">
        <v>1200.32</v>
      </c>
      <c r="I513" t="s">
        <v>28</v>
      </c>
      <c r="J513" s="1">
        <v>44875</v>
      </c>
      <c r="K513" t="s">
        <v>34</v>
      </c>
    </row>
    <row r="514" spans="1:11" x14ac:dyDescent="0.3">
      <c r="A514" t="s">
        <v>1057</v>
      </c>
      <c r="B514" t="s">
        <v>1058</v>
      </c>
      <c r="C514" t="s">
        <v>12</v>
      </c>
      <c r="D514">
        <v>41</v>
      </c>
      <c r="E514" s="20" t="str">
        <f t="shared" si="7"/>
        <v>36-45</v>
      </c>
      <c r="F514" t="s">
        <v>31</v>
      </c>
      <c r="G514">
        <v>3</v>
      </c>
      <c r="H514">
        <v>3150</v>
      </c>
      <c r="I514" t="s">
        <v>14</v>
      </c>
      <c r="J514" s="1">
        <v>44512</v>
      </c>
      <c r="K514" t="s">
        <v>60</v>
      </c>
    </row>
    <row r="515" spans="1:11" x14ac:dyDescent="0.3">
      <c r="A515" t="s">
        <v>1059</v>
      </c>
      <c r="B515" t="s">
        <v>1060</v>
      </c>
      <c r="C515" t="s">
        <v>22</v>
      </c>
      <c r="D515">
        <v>68</v>
      </c>
      <c r="E515" s="20" t="str">
        <f t="shared" ref="E515:E578" si="8">IF(D515&lt;18,"Below 18",IF(D515&lt;=25,"18-25",IF(D515&lt;=35,"26-35",IF(D515&lt;=45,"36-45",IF(D515&lt;=60,"46-60","60+")))))</f>
        <v>60+</v>
      </c>
      <c r="F515" t="s">
        <v>56</v>
      </c>
      <c r="G515">
        <v>2</v>
      </c>
      <c r="H515">
        <v>23.46</v>
      </c>
      <c r="I515" t="s">
        <v>14</v>
      </c>
      <c r="J515" s="1">
        <v>44296</v>
      </c>
      <c r="K515" t="s">
        <v>43</v>
      </c>
    </row>
    <row r="516" spans="1:11" x14ac:dyDescent="0.3">
      <c r="A516" t="s">
        <v>1061</v>
      </c>
      <c r="B516" t="s">
        <v>1062</v>
      </c>
      <c r="C516" t="s">
        <v>22</v>
      </c>
      <c r="D516">
        <v>63</v>
      </c>
      <c r="E516" s="20" t="str">
        <f t="shared" si="8"/>
        <v>60+</v>
      </c>
      <c r="F516" t="s">
        <v>18</v>
      </c>
      <c r="G516">
        <v>1</v>
      </c>
      <c r="H516">
        <v>40.659999999999997</v>
      </c>
      <c r="I516" t="s">
        <v>28</v>
      </c>
      <c r="J516" s="1">
        <v>44457</v>
      </c>
      <c r="K516" t="s">
        <v>24</v>
      </c>
    </row>
    <row r="517" spans="1:11" x14ac:dyDescent="0.3">
      <c r="A517" t="s">
        <v>1063</v>
      </c>
      <c r="B517" t="s">
        <v>1064</v>
      </c>
      <c r="C517" t="s">
        <v>22</v>
      </c>
      <c r="D517">
        <v>67</v>
      </c>
      <c r="E517" s="20" t="str">
        <f t="shared" si="8"/>
        <v>60+</v>
      </c>
      <c r="F517" t="s">
        <v>48</v>
      </c>
      <c r="G517">
        <v>5</v>
      </c>
      <c r="H517">
        <v>3000.85</v>
      </c>
      <c r="I517" t="s">
        <v>14</v>
      </c>
      <c r="J517" s="1">
        <v>44894</v>
      </c>
      <c r="K517" t="s">
        <v>19</v>
      </c>
    </row>
    <row r="518" spans="1:11" x14ac:dyDescent="0.3">
      <c r="A518" t="s">
        <v>1065</v>
      </c>
      <c r="B518" t="s">
        <v>1066</v>
      </c>
      <c r="C518" t="s">
        <v>22</v>
      </c>
      <c r="D518">
        <v>45</v>
      </c>
      <c r="E518" s="20" t="str">
        <f t="shared" si="8"/>
        <v>36-45</v>
      </c>
      <c r="F518" t="s">
        <v>13</v>
      </c>
      <c r="G518">
        <v>4</v>
      </c>
      <c r="H518">
        <v>1200.32</v>
      </c>
      <c r="I518" t="s">
        <v>14</v>
      </c>
      <c r="J518" s="1">
        <v>44779</v>
      </c>
      <c r="K518" t="s">
        <v>15</v>
      </c>
    </row>
    <row r="519" spans="1:11" x14ac:dyDescent="0.3">
      <c r="A519" t="s">
        <v>1067</v>
      </c>
      <c r="B519" t="s">
        <v>1068</v>
      </c>
      <c r="C519" t="s">
        <v>22</v>
      </c>
      <c r="D519">
        <v>41</v>
      </c>
      <c r="E519" s="20" t="str">
        <f t="shared" si="8"/>
        <v>36-45</v>
      </c>
      <c r="F519" t="s">
        <v>56</v>
      </c>
      <c r="G519">
        <v>5</v>
      </c>
      <c r="H519">
        <v>58.65</v>
      </c>
      <c r="I519" t="s">
        <v>28</v>
      </c>
      <c r="J519" s="1">
        <v>44818</v>
      </c>
      <c r="K519" t="s">
        <v>34</v>
      </c>
    </row>
    <row r="520" spans="1:11" x14ac:dyDescent="0.3">
      <c r="A520" t="s">
        <v>1069</v>
      </c>
      <c r="B520" t="s">
        <v>1070</v>
      </c>
      <c r="C520" t="s">
        <v>12</v>
      </c>
      <c r="D520">
        <v>32</v>
      </c>
      <c r="E520" s="20" t="str">
        <f t="shared" si="8"/>
        <v>26-35</v>
      </c>
      <c r="F520" t="s">
        <v>59</v>
      </c>
      <c r="G520">
        <v>3</v>
      </c>
      <c r="H520">
        <v>107.52</v>
      </c>
      <c r="I520" t="s">
        <v>28</v>
      </c>
      <c r="J520" s="1">
        <v>44774</v>
      </c>
      <c r="K520" t="s">
        <v>19</v>
      </c>
    </row>
    <row r="521" spans="1:11" x14ac:dyDescent="0.3">
      <c r="A521" t="s">
        <v>1071</v>
      </c>
      <c r="B521" t="s">
        <v>1072</v>
      </c>
      <c r="C521" t="s">
        <v>22</v>
      </c>
      <c r="D521">
        <v>34</v>
      </c>
      <c r="E521" s="20" t="str">
        <f t="shared" si="8"/>
        <v>26-35</v>
      </c>
      <c r="F521" t="s">
        <v>13</v>
      </c>
      <c r="G521">
        <v>1</v>
      </c>
      <c r="H521">
        <v>300.08</v>
      </c>
      <c r="I521" t="s">
        <v>14</v>
      </c>
      <c r="J521" s="1">
        <v>44229</v>
      </c>
      <c r="K521" t="s">
        <v>60</v>
      </c>
    </row>
    <row r="522" spans="1:11" x14ac:dyDescent="0.3">
      <c r="A522" t="s">
        <v>1073</v>
      </c>
      <c r="B522" t="s">
        <v>1074</v>
      </c>
      <c r="C522" t="s">
        <v>12</v>
      </c>
      <c r="D522">
        <v>21</v>
      </c>
      <c r="E522" s="20" t="str">
        <f t="shared" si="8"/>
        <v>18-25</v>
      </c>
      <c r="F522" t="s">
        <v>27</v>
      </c>
      <c r="G522">
        <v>2</v>
      </c>
      <c r="H522">
        <v>30.3</v>
      </c>
      <c r="I522" t="s">
        <v>28</v>
      </c>
      <c r="J522" s="1">
        <v>44219</v>
      </c>
      <c r="K522" t="s">
        <v>34</v>
      </c>
    </row>
    <row r="523" spans="1:11" x14ac:dyDescent="0.3">
      <c r="A523" t="s">
        <v>1075</v>
      </c>
      <c r="B523" t="s">
        <v>1076</v>
      </c>
      <c r="C523" t="s">
        <v>12</v>
      </c>
      <c r="D523">
        <v>22</v>
      </c>
      <c r="E523" s="20" t="str">
        <f t="shared" si="8"/>
        <v>18-25</v>
      </c>
      <c r="F523" t="s">
        <v>18</v>
      </c>
      <c r="G523">
        <v>1</v>
      </c>
      <c r="H523">
        <v>40.659999999999997</v>
      </c>
      <c r="I523" t="s">
        <v>28</v>
      </c>
      <c r="J523" s="1">
        <v>44359</v>
      </c>
      <c r="K523" t="s">
        <v>19</v>
      </c>
    </row>
    <row r="524" spans="1:11" x14ac:dyDescent="0.3">
      <c r="A524" t="s">
        <v>1077</v>
      </c>
      <c r="B524" t="s">
        <v>1078</v>
      </c>
      <c r="C524" t="s">
        <v>22</v>
      </c>
      <c r="D524">
        <v>20</v>
      </c>
      <c r="E524" s="20" t="str">
        <f t="shared" si="8"/>
        <v>18-25</v>
      </c>
      <c r="F524" t="s">
        <v>18</v>
      </c>
      <c r="G524">
        <v>3</v>
      </c>
      <c r="H524">
        <v>121.98</v>
      </c>
      <c r="I524" t="s">
        <v>23</v>
      </c>
      <c r="J524" s="1">
        <v>44840</v>
      </c>
      <c r="K524" t="s">
        <v>34</v>
      </c>
    </row>
    <row r="525" spans="1:11" x14ac:dyDescent="0.3">
      <c r="A525" t="s">
        <v>1079</v>
      </c>
      <c r="B525" t="s">
        <v>1080</v>
      </c>
      <c r="C525" t="s">
        <v>22</v>
      </c>
      <c r="D525">
        <v>39</v>
      </c>
      <c r="E525" s="20" t="str">
        <f t="shared" si="8"/>
        <v>36-45</v>
      </c>
      <c r="F525" t="s">
        <v>13</v>
      </c>
      <c r="G525">
        <v>2</v>
      </c>
      <c r="H525">
        <v>600.16</v>
      </c>
      <c r="I525" t="s">
        <v>14</v>
      </c>
      <c r="J525" s="1">
        <v>44967</v>
      </c>
      <c r="K525" t="s">
        <v>43</v>
      </c>
    </row>
    <row r="526" spans="1:11" x14ac:dyDescent="0.3">
      <c r="A526" t="s">
        <v>1081</v>
      </c>
      <c r="B526" t="s">
        <v>1082</v>
      </c>
      <c r="C526" t="s">
        <v>22</v>
      </c>
      <c r="D526">
        <v>22</v>
      </c>
      <c r="E526" s="20" t="str">
        <f t="shared" si="8"/>
        <v>18-25</v>
      </c>
      <c r="F526" t="s">
        <v>27</v>
      </c>
      <c r="G526">
        <v>5</v>
      </c>
      <c r="H526">
        <v>75.75</v>
      </c>
      <c r="I526" t="s">
        <v>28</v>
      </c>
      <c r="J526" s="1">
        <v>44219</v>
      </c>
      <c r="K526" t="s">
        <v>73</v>
      </c>
    </row>
    <row r="527" spans="1:11" x14ac:dyDescent="0.3">
      <c r="A527" t="s">
        <v>1083</v>
      </c>
      <c r="B527" t="s">
        <v>1084</v>
      </c>
      <c r="C527" t="s">
        <v>22</v>
      </c>
      <c r="D527">
        <v>46</v>
      </c>
      <c r="E527" s="20" t="str">
        <f t="shared" si="8"/>
        <v>46-60</v>
      </c>
      <c r="F527" t="s">
        <v>13</v>
      </c>
      <c r="G527">
        <v>4</v>
      </c>
      <c r="H527">
        <v>1200.32</v>
      </c>
      <c r="I527" t="s">
        <v>14</v>
      </c>
      <c r="J527" s="1">
        <v>44902</v>
      </c>
      <c r="K527" t="s">
        <v>73</v>
      </c>
    </row>
    <row r="528" spans="1:11" x14ac:dyDescent="0.3">
      <c r="A528" t="s">
        <v>1085</v>
      </c>
      <c r="B528" t="s">
        <v>1086</v>
      </c>
      <c r="C528" t="s">
        <v>22</v>
      </c>
      <c r="D528">
        <v>25</v>
      </c>
      <c r="E528" s="20" t="str">
        <f t="shared" si="8"/>
        <v>18-25</v>
      </c>
      <c r="F528" t="s">
        <v>56</v>
      </c>
      <c r="G528">
        <v>5</v>
      </c>
      <c r="H528">
        <v>58.65</v>
      </c>
      <c r="I528" t="s">
        <v>28</v>
      </c>
      <c r="J528" s="1">
        <v>44801</v>
      </c>
      <c r="K528" t="s">
        <v>24</v>
      </c>
    </row>
    <row r="529" spans="1:11" x14ac:dyDescent="0.3">
      <c r="A529" t="s">
        <v>1087</v>
      </c>
      <c r="B529" t="s">
        <v>1088</v>
      </c>
      <c r="C529" t="s">
        <v>22</v>
      </c>
      <c r="D529">
        <v>30</v>
      </c>
      <c r="E529" s="20" t="str">
        <f t="shared" si="8"/>
        <v>26-35</v>
      </c>
      <c r="F529" t="s">
        <v>13</v>
      </c>
      <c r="G529">
        <v>3</v>
      </c>
      <c r="H529">
        <v>900.24</v>
      </c>
      <c r="I529" t="s">
        <v>23</v>
      </c>
      <c r="J529" s="1">
        <v>44533</v>
      </c>
      <c r="K529" t="s">
        <v>84</v>
      </c>
    </row>
    <row r="530" spans="1:11" x14ac:dyDescent="0.3">
      <c r="A530" t="s">
        <v>1089</v>
      </c>
      <c r="B530" t="s">
        <v>1090</v>
      </c>
      <c r="C530" t="s">
        <v>12</v>
      </c>
      <c r="D530">
        <v>67</v>
      </c>
      <c r="E530" s="20" t="str">
        <f t="shared" si="8"/>
        <v>60+</v>
      </c>
      <c r="F530" t="s">
        <v>56</v>
      </c>
      <c r="G530">
        <v>4</v>
      </c>
      <c r="H530">
        <v>46.92</v>
      </c>
      <c r="I530" t="s">
        <v>14</v>
      </c>
      <c r="J530" s="1">
        <v>44260</v>
      </c>
      <c r="K530" t="s">
        <v>24</v>
      </c>
    </row>
    <row r="531" spans="1:11" x14ac:dyDescent="0.3">
      <c r="A531" t="s">
        <v>1091</v>
      </c>
      <c r="B531" t="s">
        <v>1092</v>
      </c>
      <c r="C531" t="s">
        <v>12</v>
      </c>
      <c r="D531">
        <v>56</v>
      </c>
      <c r="E531" s="20" t="str">
        <f t="shared" si="8"/>
        <v>46-60</v>
      </c>
      <c r="F531" t="s">
        <v>18</v>
      </c>
      <c r="G531">
        <v>2</v>
      </c>
      <c r="H531">
        <v>81.319999999999993</v>
      </c>
      <c r="I531" t="s">
        <v>28</v>
      </c>
      <c r="J531" s="1">
        <v>44624</v>
      </c>
      <c r="K531" t="s">
        <v>84</v>
      </c>
    </row>
    <row r="532" spans="1:11" x14ac:dyDescent="0.3">
      <c r="A532" t="s">
        <v>1093</v>
      </c>
      <c r="B532" t="s">
        <v>1094</v>
      </c>
      <c r="C532" t="s">
        <v>22</v>
      </c>
      <c r="D532">
        <v>65</v>
      </c>
      <c r="E532" s="20" t="str">
        <f t="shared" si="8"/>
        <v>60+</v>
      </c>
      <c r="F532" t="s">
        <v>18</v>
      </c>
      <c r="G532">
        <v>1</v>
      </c>
      <c r="H532">
        <v>40.659999999999997</v>
      </c>
      <c r="I532" t="s">
        <v>28</v>
      </c>
      <c r="J532" s="1">
        <v>44866</v>
      </c>
      <c r="K532" t="s">
        <v>24</v>
      </c>
    </row>
    <row r="533" spans="1:11" x14ac:dyDescent="0.3">
      <c r="A533" t="s">
        <v>1095</v>
      </c>
      <c r="B533" t="s">
        <v>1096</v>
      </c>
      <c r="C533" t="s">
        <v>22</v>
      </c>
      <c r="D533">
        <v>22</v>
      </c>
      <c r="E533" s="20" t="str">
        <f t="shared" si="8"/>
        <v>18-25</v>
      </c>
      <c r="F533" t="s">
        <v>59</v>
      </c>
      <c r="G533">
        <v>3</v>
      </c>
      <c r="H533">
        <v>107.52</v>
      </c>
      <c r="I533" t="s">
        <v>28</v>
      </c>
      <c r="J533" s="1">
        <v>44326</v>
      </c>
      <c r="K533" t="s">
        <v>43</v>
      </c>
    </row>
    <row r="534" spans="1:11" x14ac:dyDescent="0.3">
      <c r="A534" t="s">
        <v>1097</v>
      </c>
      <c r="B534" t="s">
        <v>1098</v>
      </c>
      <c r="C534" t="s">
        <v>12</v>
      </c>
      <c r="D534">
        <v>55</v>
      </c>
      <c r="E534" s="20" t="str">
        <f t="shared" si="8"/>
        <v>46-60</v>
      </c>
      <c r="F534" t="s">
        <v>37</v>
      </c>
      <c r="G534">
        <v>1</v>
      </c>
      <c r="H534">
        <v>5.23</v>
      </c>
      <c r="I534" t="s">
        <v>14</v>
      </c>
      <c r="J534" s="1">
        <v>44341</v>
      </c>
      <c r="K534" t="s">
        <v>34</v>
      </c>
    </row>
    <row r="535" spans="1:11" x14ac:dyDescent="0.3">
      <c r="A535" t="s">
        <v>1099</v>
      </c>
      <c r="B535" t="s">
        <v>1100</v>
      </c>
      <c r="C535" t="s">
        <v>22</v>
      </c>
      <c r="D535">
        <v>20</v>
      </c>
      <c r="E535" s="20" t="str">
        <f t="shared" si="8"/>
        <v>18-25</v>
      </c>
      <c r="F535" t="s">
        <v>13</v>
      </c>
      <c r="G535">
        <v>5</v>
      </c>
      <c r="H535">
        <v>1500.4</v>
      </c>
      <c r="I535" t="s">
        <v>23</v>
      </c>
      <c r="J535" s="1">
        <v>44441</v>
      </c>
      <c r="K535" t="s">
        <v>24</v>
      </c>
    </row>
    <row r="536" spans="1:11" x14ac:dyDescent="0.3">
      <c r="A536" t="s">
        <v>1101</v>
      </c>
      <c r="B536" t="s">
        <v>1102</v>
      </c>
      <c r="C536" t="s">
        <v>12</v>
      </c>
      <c r="D536">
        <v>48</v>
      </c>
      <c r="E536" s="20" t="str">
        <f t="shared" si="8"/>
        <v>46-60</v>
      </c>
      <c r="F536" t="s">
        <v>37</v>
      </c>
      <c r="G536">
        <v>3</v>
      </c>
      <c r="H536">
        <v>15.69</v>
      </c>
      <c r="I536" t="s">
        <v>28</v>
      </c>
      <c r="J536" s="1">
        <v>44365</v>
      </c>
      <c r="K536" t="s">
        <v>60</v>
      </c>
    </row>
    <row r="537" spans="1:11" x14ac:dyDescent="0.3">
      <c r="A537" t="s">
        <v>1103</v>
      </c>
      <c r="B537" t="s">
        <v>1104</v>
      </c>
      <c r="C537" t="s">
        <v>22</v>
      </c>
      <c r="D537">
        <v>33</v>
      </c>
      <c r="E537" s="20" t="str">
        <f t="shared" si="8"/>
        <v>26-35</v>
      </c>
      <c r="F537" t="s">
        <v>27</v>
      </c>
      <c r="G537">
        <v>3</v>
      </c>
      <c r="H537">
        <v>45.45</v>
      </c>
      <c r="I537" t="s">
        <v>14</v>
      </c>
      <c r="J537" s="1">
        <v>44845</v>
      </c>
      <c r="K537" t="s">
        <v>24</v>
      </c>
    </row>
    <row r="538" spans="1:11" x14ac:dyDescent="0.3">
      <c r="A538" t="s">
        <v>1105</v>
      </c>
      <c r="B538" t="s">
        <v>1106</v>
      </c>
      <c r="C538" t="s">
        <v>22</v>
      </c>
      <c r="D538">
        <v>19</v>
      </c>
      <c r="E538" s="20" t="str">
        <f t="shared" si="8"/>
        <v>18-25</v>
      </c>
      <c r="F538" t="s">
        <v>13</v>
      </c>
      <c r="G538">
        <v>2</v>
      </c>
      <c r="H538">
        <v>600.16</v>
      </c>
      <c r="I538" t="s">
        <v>23</v>
      </c>
      <c r="J538" s="1">
        <v>44504</v>
      </c>
      <c r="K538" t="s">
        <v>84</v>
      </c>
    </row>
    <row r="539" spans="1:11" x14ac:dyDescent="0.3">
      <c r="A539" t="s">
        <v>1107</v>
      </c>
      <c r="B539" t="s">
        <v>1108</v>
      </c>
      <c r="C539" t="s">
        <v>12</v>
      </c>
      <c r="D539">
        <v>42</v>
      </c>
      <c r="E539" s="20" t="str">
        <f t="shared" si="8"/>
        <v>36-45</v>
      </c>
      <c r="F539" t="s">
        <v>18</v>
      </c>
      <c r="G539">
        <v>5</v>
      </c>
      <c r="H539">
        <v>203.3</v>
      </c>
      <c r="I539" t="s">
        <v>14</v>
      </c>
      <c r="J539" s="1">
        <v>44533</v>
      </c>
      <c r="K539" t="s">
        <v>43</v>
      </c>
    </row>
    <row r="540" spans="1:11" x14ac:dyDescent="0.3">
      <c r="A540" t="s">
        <v>1109</v>
      </c>
      <c r="B540" t="s">
        <v>1110</v>
      </c>
      <c r="C540" t="s">
        <v>12</v>
      </c>
      <c r="D540">
        <v>67</v>
      </c>
      <c r="E540" s="20" t="str">
        <f t="shared" si="8"/>
        <v>60+</v>
      </c>
      <c r="F540" t="s">
        <v>18</v>
      </c>
      <c r="G540">
        <v>1</v>
      </c>
      <c r="H540">
        <v>40.659999999999997</v>
      </c>
      <c r="I540" t="s">
        <v>14</v>
      </c>
      <c r="J540" s="1">
        <v>44649</v>
      </c>
      <c r="K540" t="s">
        <v>34</v>
      </c>
    </row>
    <row r="541" spans="1:11" x14ac:dyDescent="0.3">
      <c r="A541" t="s">
        <v>1111</v>
      </c>
      <c r="B541" t="s">
        <v>1112</v>
      </c>
      <c r="C541" t="s">
        <v>22</v>
      </c>
      <c r="D541">
        <v>60</v>
      </c>
      <c r="E541" s="20" t="str">
        <f t="shared" si="8"/>
        <v>46-60</v>
      </c>
      <c r="F541" t="s">
        <v>37</v>
      </c>
      <c r="G541">
        <v>5</v>
      </c>
      <c r="H541">
        <v>26.15</v>
      </c>
      <c r="I541" t="s">
        <v>14</v>
      </c>
      <c r="J541" s="1">
        <v>44636</v>
      </c>
      <c r="K541" t="s">
        <v>34</v>
      </c>
    </row>
    <row r="542" spans="1:11" x14ac:dyDescent="0.3">
      <c r="A542" t="s">
        <v>1113</v>
      </c>
      <c r="B542" t="s">
        <v>1114</v>
      </c>
      <c r="C542" t="s">
        <v>12</v>
      </c>
      <c r="D542">
        <v>67</v>
      </c>
      <c r="E542" s="20" t="str">
        <f t="shared" si="8"/>
        <v>60+</v>
      </c>
      <c r="F542" t="s">
        <v>13</v>
      </c>
      <c r="G542">
        <v>2</v>
      </c>
      <c r="H542">
        <v>600.16</v>
      </c>
      <c r="I542" t="s">
        <v>14</v>
      </c>
      <c r="J542" s="1">
        <v>44685</v>
      </c>
      <c r="K542" t="s">
        <v>73</v>
      </c>
    </row>
    <row r="543" spans="1:11" x14ac:dyDescent="0.3">
      <c r="A543" t="s">
        <v>1115</v>
      </c>
      <c r="B543" t="s">
        <v>1116</v>
      </c>
      <c r="C543" t="s">
        <v>22</v>
      </c>
      <c r="D543">
        <v>48</v>
      </c>
      <c r="E543" s="20" t="str">
        <f t="shared" si="8"/>
        <v>46-60</v>
      </c>
      <c r="F543" t="s">
        <v>18</v>
      </c>
      <c r="G543">
        <v>2</v>
      </c>
      <c r="H543">
        <v>81.319999999999993</v>
      </c>
      <c r="I543" t="s">
        <v>14</v>
      </c>
      <c r="J543" s="1">
        <v>44507</v>
      </c>
      <c r="K543" t="s">
        <v>24</v>
      </c>
    </row>
    <row r="544" spans="1:11" x14ac:dyDescent="0.3">
      <c r="A544" t="s">
        <v>1117</v>
      </c>
      <c r="B544" t="s">
        <v>1118</v>
      </c>
      <c r="C544" t="s">
        <v>22</v>
      </c>
      <c r="D544">
        <v>41</v>
      </c>
      <c r="E544" s="20" t="str">
        <f t="shared" si="8"/>
        <v>36-45</v>
      </c>
      <c r="F544" t="s">
        <v>59</v>
      </c>
      <c r="G544">
        <v>5</v>
      </c>
      <c r="H544">
        <v>179.2</v>
      </c>
      <c r="I544" t="s">
        <v>28</v>
      </c>
      <c r="J544" s="1">
        <v>44549</v>
      </c>
      <c r="K544" t="s">
        <v>43</v>
      </c>
    </row>
    <row r="545" spans="1:11" x14ac:dyDescent="0.3">
      <c r="A545" t="s">
        <v>1119</v>
      </c>
      <c r="B545" t="s">
        <v>1120</v>
      </c>
      <c r="C545" t="s">
        <v>22</v>
      </c>
      <c r="D545">
        <v>41</v>
      </c>
      <c r="E545" s="20" t="str">
        <f t="shared" si="8"/>
        <v>36-45</v>
      </c>
      <c r="F545" t="s">
        <v>27</v>
      </c>
      <c r="G545">
        <v>3</v>
      </c>
      <c r="H545">
        <v>45.45</v>
      </c>
      <c r="I545" t="s">
        <v>14</v>
      </c>
      <c r="J545" s="1">
        <v>44949</v>
      </c>
      <c r="K545" t="s">
        <v>24</v>
      </c>
    </row>
    <row r="546" spans="1:11" x14ac:dyDescent="0.3">
      <c r="A546" t="s">
        <v>1121</v>
      </c>
      <c r="B546" t="s">
        <v>1122</v>
      </c>
      <c r="C546" t="s">
        <v>22</v>
      </c>
      <c r="D546">
        <v>26</v>
      </c>
      <c r="E546" s="20" t="str">
        <f t="shared" si="8"/>
        <v>26-35</v>
      </c>
      <c r="F546" t="s">
        <v>48</v>
      </c>
      <c r="G546">
        <v>2</v>
      </c>
      <c r="H546">
        <v>1200.3399999999999</v>
      </c>
      <c r="I546" t="s">
        <v>28</v>
      </c>
      <c r="J546" s="1">
        <v>44447</v>
      </c>
      <c r="K546" t="s">
        <v>60</v>
      </c>
    </row>
    <row r="547" spans="1:11" x14ac:dyDescent="0.3">
      <c r="A547" t="s">
        <v>1123</v>
      </c>
      <c r="B547" t="s">
        <v>1124</v>
      </c>
      <c r="C547" t="s">
        <v>12</v>
      </c>
      <c r="D547">
        <v>49</v>
      </c>
      <c r="E547" s="20" t="str">
        <f t="shared" si="8"/>
        <v>46-60</v>
      </c>
      <c r="F547" t="s">
        <v>13</v>
      </c>
      <c r="G547">
        <v>1</v>
      </c>
      <c r="H547">
        <v>300.08</v>
      </c>
      <c r="I547" t="s">
        <v>23</v>
      </c>
      <c r="J547" s="1">
        <v>44231</v>
      </c>
      <c r="K547" t="s">
        <v>43</v>
      </c>
    </row>
    <row r="548" spans="1:11" x14ac:dyDescent="0.3">
      <c r="A548" t="s">
        <v>1125</v>
      </c>
      <c r="B548" t="s">
        <v>1126</v>
      </c>
      <c r="C548" t="s">
        <v>12</v>
      </c>
      <c r="D548">
        <v>22</v>
      </c>
      <c r="E548" s="20" t="str">
        <f t="shared" si="8"/>
        <v>18-25</v>
      </c>
      <c r="F548" t="s">
        <v>59</v>
      </c>
      <c r="G548">
        <v>1</v>
      </c>
      <c r="H548">
        <v>35.840000000000003</v>
      </c>
      <c r="I548" t="s">
        <v>23</v>
      </c>
      <c r="J548" s="1">
        <v>44512</v>
      </c>
      <c r="K548" t="s">
        <v>84</v>
      </c>
    </row>
    <row r="549" spans="1:11" x14ac:dyDescent="0.3">
      <c r="A549" t="s">
        <v>1127</v>
      </c>
      <c r="B549" t="s">
        <v>1128</v>
      </c>
      <c r="C549" t="s">
        <v>12</v>
      </c>
      <c r="D549">
        <v>68</v>
      </c>
      <c r="E549" s="20" t="str">
        <f t="shared" si="8"/>
        <v>60+</v>
      </c>
      <c r="F549" t="s">
        <v>48</v>
      </c>
      <c r="G549">
        <v>3</v>
      </c>
      <c r="H549">
        <v>1800.51</v>
      </c>
      <c r="I549" t="s">
        <v>28</v>
      </c>
      <c r="J549" s="1">
        <v>44398</v>
      </c>
      <c r="K549" t="s">
        <v>24</v>
      </c>
    </row>
    <row r="550" spans="1:11" x14ac:dyDescent="0.3">
      <c r="A550" t="s">
        <v>1129</v>
      </c>
      <c r="B550" t="s">
        <v>1130</v>
      </c>
      <c r="C550" t="s">
        <v>22</v>
      </c>
      <c r="D550">
        <v>34</v>
      </c>
      <c r="E550" s="20" t="str">
        <f t="shared" si="8"/>
        <v>26-35</v>
      </c>
      <c r="F550" t="s">
        <v>59</v>
      </c>
      <c r="G550">
        <v>5</v>
      </c>
      <c r="H550">
        <v>179.2</v>
      </c>
      <c r="I550" t="s">
        <v>28</v>
      </c>
      <c r="J550" s="1">
        <v>44213</v>
      </c>
      <c r="K550" t="s">
        <v>24</v>
      </c>
    </row>
    <row r="551" spans="1:11" x14ac:dyDescent="0.3">
      <c r="A551" t="s">
        <v>1131</v>
      </c>
      <c r="B551" t="s">
        <v>1132</v>
      </c>
      <c r="C551" t="s">
        <v>12</v>
      </c>
      <c r="D551">
        <v>48</v>
      </c>
      <c r="E551" s="20" t="str">
        <f t="shared" si="8"/>
        <v>46-60</v>
      </c>
      <c r="F551" t="s">
        <v>18</v>
      </c>
      <c r="G551">
        <v>3</v>
      </c>
      <c r="H551">
        <v>121.98</v>
      </c>
      <c r="I551" t="s">
        <v>14</v>
      </c>
      <c r="J551" s="1">
        <v>44651</v>
      </c>
      <c r="K551" t="s">
        <v>34</v>
      </c>
    </row>
    <row r="552" spans="1:11" x14ac:dyDescent="0.3">
      <c r="A552" t="s">
        <v>1133</v>
      </c>
      <c r="B552" t="s">
        <v>1134</v>
      </c>
      <c r="C552" t="s">
        <v>12</v>
      </c>
      <c r="D552">
        <v>42</v>
      </c>
      <c r="E552" s="20" t="str">
        <f t="shared" si="8"/>
        <v>36-45</v>
      </c>
      <c r="F552" t="s">
        <v>48</v>
      </c>
      <c r="G552">
        <v>5</v>
      </c>
      <c r="H552">
        <v>3000.85</v>
      </c>
      <c r="I552" t="s">
        <v>14</v>
      </c>
      <c r="J552" s="1">
        <v>44291</v>
      </c>
      <c r="K552" t="s">
        <v>73</v>
      </c>
    </row>
    <row r="553" spans="1:11" x14ac:dyDescent="0.3">
      <c r="A553" t="s">
        <v>1135</v>
      </c>
      <c r="B553" t="s">
        <v>1136</v>
      </c>
      <c r="C553" t="s">
        <v>22</v>
      </c>
      <c r="D553">
        <v>45</v>
      </c>
      <c r="E553" s="20" t="str">
        <f t="shared" si="8"/>
        <v>36-45</v>
      </c>
      <c r="F553" t="s">
        <v>56</v>
      </c>
      <c r="G553">
        <v>4</v>
      </c>
      <c r="H553">
        <v>46.92</v>
      </c>
      <c r="I553" t="s">
        <v>14</v>
      </c>
      <c r="J553" s="1">
        <v>44332</v>
      </c>
      <c r="K553" t="s">
        <v>60</v>
      </c>
    </row>
    <row r="554" spans="1:11" x14ac:dyDescent="0.3">
      <c r="A554" t="s">
        <v>1137</v>
      </c>
      <c r="B554" t="s">
        <v>1138</v>
      </c>
      <c r="C554" t="s">
        <v>22</v>
      </c>
      <c r="D554">
        <v>29</v>
      </c>
      <c r="E554" s="20" t="str">
        <f t="shared" si="8"/>
        <v>26-35</v>
      </c>
      <c r="F554" t="s">
        <v>18</v>
      </c>
      <c r="G554">
        <v>5</v>
      </c>
      <c r="H554">
        <v>203.3</v>
      </c>
      <c r="I554" t="s">
        <v>28</v>
      </c>
      <c r="J554" s="1">
        <v>44311</v>
      </c>
      <c r="K554" t="s">
        <v>84</v>
      </c>
    </row>
    <row r="555" spans="1:11" x14ac:dyDescent="0.3">
      <c r="A555" t="s">
        <v>1139</v>
      </c>
      <c r="B555" t="s">
        <v>1140</v>
      </c>
      <c r="C555" t="s">
        <v>22</v>
      </c>
      <c r="D555">
        <v>53</v>
      </c>
      <c r="E555" s="20" t="str">
        <f t="shared" si="8"/>
        <v>46-60</v>
      </c>
      <c r="F555" t="s">
        <v>13</v>
      </c>
      <c r="G555">
        <v>4</v>
      </c>
      <c r="H555">
        <v>1200.32</v>
      </c>
      <c r="I555" t="s">
        <v>23</v>
      </c>
      <c r="J555" s="1">
        <v>44463</v>
      </c>
      <c r="K555" t="s">
        <v>43</v>
      </c>
    </row>
    <row r="556" spans="1:11" x14ac:dyDescent="0.3">
      <c r="A556" t="s">
        <v>1141</v>
      </c>
      <c r="B556" t="s">
        <v>1142</v>
      </c>
      <c r="C556" t="s">
        <v>22</v>
      </c>
      <c r="D556">
        <v>53</v>
      </c>
      <c r="E556" s="20" t="str">
        <f t="shared" si="8"/>
        <v>46-60</v>
      </c>
      <c r="F556" t="s">
        <v>13</v>
      </c>
      <c r="G556">
        <v>3</v>
      </c>
      <c r="H556">
        <v>900.24</v>
      </c>
      <c r="I556" t="s">
        <v>23</v>
      </c>
      <c r="J556" s="1">
        <v>44246</v>
      </c>
      <c r="K556" t="s">
        <v>34</v>
      </c>
    </row>
    <row r="557" spans="1:11" x14ac:dyDescent="0.3">
      <c r="A557" t="s">
        <v>1143</v>
      </c>
      <c r="B557" t="s">
        <v>1144</v>
      </c>
      <c r="C557" t="s">
        <v>12</v>
      </c>
      <c r="D557">
        <v>41</v>
      </c>
      <c r="E557" s="20" t="str">
        <f t="shared" si="8"/>
        <v>36-45</v>
      </c>
      <c r="F557" t="s">
        <v>13</v>
      </c>
      <c r="G557">
        <v>3</v>
      </c>
      <c r="H557">
        <v>900.24</v>
      </c>
      <c r="I557" t="s">
        <v>28</v>
      </c>
      <c r="J557" s="1">
        <v>44415</v>
      </c>
      <c r="K557" t="s">
        <v>43</v>
      </c>
    </row>
    <row r="558" spans="1:11" x14ac:dyDescent="0.3">
      <c r="A558" t="s">
        <v>1145</v>
      </c>
      <c r="B558" t="s">
        <v>1146</v>
      </c>
      <c r="C558" t="s">
        <v>22</v>
      </c>
      <c r="D558">
        <v>30</v>
      </c>
      <c r="E558" s="20" t="str">
        <f t="shared" si="8"/>
        <v>26-35</v>
      </c>
      <c r="F558" t="s">
        <v>37</v>
      </c>
      <c r="G558">
        <v>4</v>
      </c>
      <c r="H558">
        <v>20.92</v>
      </c>
      <c r="I558" t="s">
        <v>28</v>
      </c>
      <c r="J558" s="1">
        <v>44856</v>
      </c>
      <c r="K558" t="s">
        <v>60</v>
      </c>
    </row>
    <row r="559" spans="1:11" x14ac:dyDescent="0.3">
      <c r="A559" t="s">
        <v>1147</v>
      </c>
      <c r="B559" t="s">
        <v>1148</v>
      </c>
      <c r="C559" t="s">
        <v>22</v>
      </c>
      <c r="D559">
        <v>56</v>
      </c>
      <c r="E559" s="20" t="str">
        <f t="shared" si="8"/>
        <v>46-60</v>
      </c>
      <c r="F559" t="s">
        <v>18</v>
      </c>
      <c r="G559">
        <v>3</v>
      </c>
      <c r="H559">
        <v>121.98</v>
      </c>
      <c r="I559" t="s">
        <v>28</v>
      </c>
      <c r="J559" s="1">
        <v>44585</v>
      </c>
      <c r="K559" t="s">
        <v>24</v>
      </c>
    </row>
    <row r="560" spans="1:11" x14ac:dyDescent="0.3">
      <c r="A560" t="s">
        <v>1149</v>
      </c>
      <c r="B560" t="s">
        <v>1150</v>
      </c>
      <c r="C560" t="s">
        <v>12</v>
      </c>
      <c r="D560">
        <v>61</v>
      </c>
      <c r="E560" s="20" t="str">
        <f t="shared" si="8"/>
        <v>60+</v>
      </c>
      <c r="F560" t="s">
        <v>37</v>
      </c>
      <c r="G560">
        <v>5</v>
      </c>
      <c r="H560">
        <v>26.15</v>
      </c>
      <c r="I560" t="s">
        <v>23</v>
      </c>
      <c r="J560" s="1">
        <v>44669</v>
      </c>
      <c r="K560" t="s">
        <v>19</v>
      </c>
    </row>
    <row r="561" spans="1:11" x14ac:dyDescent="0.3">
      <c r="A561" t="s">
        <v>1151</v>
      </c>
      <c r="B561" t="s">
        <v>1152</v>
      </c>
      <c r="C561" t="s">
        <v>22</v>
      </c>
      <c r="D561">
        <v>64</v>
      </c>
      <c r="E561" s="20" t="str">
        <f t="shared" si="8"/>
        <v>60+</v>
      </c>
      <c r="F561" t="s">
        <v>13</v>
      </c>
      <c r="G561">
        <v>2</v>
      </c>
      <c r="H561">
        <v>600.16</v>
      </c>
      <c r="I561" t="s">
        <v>28</v>
      </c>
      <c r="J561" s="1">
        <v>44971</v>
      </c>
      <c r="K561" t="s">
        <v>24</v>
      </c>
    </row>
    <row r="562" spans="1:11" x14ac:dyDescent="0.3">
      <c r="A562" t="s">
        <v>1153</v>
      </c>
      <c r="B562" t="s">
        <v>1154</v>
      </c>
      <c r="C562" t="s">
        <v>22</v>
      </c>
      <c r="D562">
        <v>62</v>
      </c>
      <c r="E562" s="20" t="str">
        <f t="shared" si="8"/>
        <v>60+</v>
      </c>
      <c r="F562" t="s">
        <v>27</v>
      </c>
      <c r="G562">
        <v>3</v>
      </c>
      <c r="H562">
        <v>45.45</v>
      </c>
      <c r="I562" t="s">
        <v>23</v>
      </c>
      <c r="J562" s="1">
        <v>44634</v>
      </c>
      <c r="K562" t="s">
        <v>24</v>
      </c>
    </row>
    <row r="563" spans="1:11" x14ac:dyDescent="0.3">
      <c r="A563" t="s">
        <v>1155</v>
      </c>
      <c r="B563" t="s">
        <v>1156</v>
      </c>
      <c r="C563" t="s">
        <v>22</v>
      </c>
      <c r="D563">
        <v>26</v>
      </c>
      <c r="E563" s="20" t="str">
        <f t="shared" si="8"/>
        <v>26-35</v>
      </c>
      <c r="F563" t="s">
        <v>18</v>
      </c>
      <c r="G563">
        <v>5</v>
      </c>
      <c r="H563">
        <v>203.3</v>
      </c>
      <c r="I563" t="s">
        <v>28</v>
      </c>
      <c r="J563" s="1">
        <v>44369</v>
      </c>
      <c r="K563" t="s">
        <v>24</v>
      </c>
    </row>
    <row r="564" spans="1:11" x14ac:dyDescent="0.3">
      <c r="A564" t="s">
        <v>1157</v>
      </c>
      <c r="B564" t="s">
        <v>1158</v>
      </c>
      <c r="C564" t="s">
        <v>22</v>
      </c>
      <c r="D564">
        <v>31</v>
      </c>
      <c r="E564" s="20" t="str">
        <f t="shared" si="8"/>
        <v>26-35</v>
      </c>
      <c r="F564" t="s">
        <v>48</v>
      </c>
      <c r="G564">
        <v>5</v>
      </c>
      <c r="H564">
        <v>3000.85</v>
      </c>
      <c r="I564" t="s">
        <v>23</v>
      </c>
      <c r="J564" s="1">
        <v>44755</v>
      </c>
      <c r="K564" t="s">
        <v>43</v>
      </c>
    </row>
    <row r="565" spans="1:11" x14ac:dyDescent="0.3">
      <c r="A565" t="s">
        <v>1159</v>
      </c>
      <c r="B565" t="s">
        <v>1160</v>
      </c>
      <c r="C565" t="s">
        <v>22</v>
      </c>
      <c r="D565">
        <v>68</v>
      </c>
      <c r="E565" s="20" t="str">
        <f t="shared" si="8"/>
        <v>60+</v>
      </c>
      <c r="F565" t="s">
        <v>27</v>
      </c>
      <c r="G565">
        <v>1</v>
      </c>
      <c r="H565">
        <v>15.15</v>
      </c>
      <c r="I565" t="s">
        <v>28</v>
      </c>
      <c r="J565" s="1">
        <v>44445</v>
      </c>
      <c r="K565" t="s">
        <v>43</v>
      </c>
    </row>
    <row r="566" spans="1:11" x14ac:dyDescent="0.3">
      <c r="A566" t="s">
        <v>1161</v>
      </c>
      <c r="B566" t="s">
        <v>1162</v>
      </c>
      <c r="C566" t="s">
        <v>12</v>
      </c>
      <c r="D566">
        <v>39</v>
      </c>
      <c r="E566" s="20" t="str">
        <f t="shared" si="8"/>
        <v>36-45</v>
      </c>
      <c r="F566" t="s">
        <v>13</v>
      </c>
      <c r="G566">
        <v>4</v>
      </c>
      <c r="H566">
        <v>1200.32</v>
      </c>
      <c r="I566" t="s">
        <v>23</v>
      </c>
      <c r="J566" s="1">
        <v>44951</v>
      </c>
      <c r="K566" t="s">
        <v>34</v>
      </c>
    </row>
    <row r="567" spans="1:11" x14ac:dyDescent="0.3">
      <c r="A567" t="s">
        <v>1163</v>
      </c>
      <c r="B567" t="s">
        <v>1164</v>
      </c>
      <c r="C567" t="s">
        <v>22</v>
      </c>
      <c r="D567">
        <v>59</v>
      </c>
      <c r="E567" s="20" t="str">
        <f t="shared" si="8"/>
        <v>46-60</v>
      </c>
      <c r="F567" t="s">
        <v>31</v>
      </c>
      <c r="G567">
        <v>3</v>
      </c>
      <c r="H567">
        <v>3150</v>
      </c>
      <c r="I567" t="s">
        <v>28</v>
      </c>
      <c r="J567" s="1">
        <v>44699</v>
      </c>
      <c r="K567" t="s">
        <v>19</v>
      </c>
    </row>
    <row r="568" spans="1:11" x14ac:dyDescent="0.3">
      <c r="A568" t="s">
        <v>1165</v>
      </c>
      <c r="B568" t="s">
        <v>1166</v>
      </c>
      <c r="C568" t="s">
        <v>22</v>
      </c>
      <c r="D568">
        <v>42</v>
      </c>
      <c r="E568" s="20" t="str">
        <f t="shared" si="8"/>
        <v>36-45</v>
      </c>
      <c r="F568" t="s">
        <v>13</v>
      </c>
      <c r="G568">
        <v>1</v>
      </c>
      <c r="H568">
        <v>300.08</v>
      </c>
      <c r="I568" t="s">
        <v>28</v>
      </c>
      <c r="J568" s="1">
        <v>44566</v>
      </c>
      <c r="K568" t="s">
        <v>24</v>
      </c>
    </row>
    <row r="569" spans="1:11" x14ac:dyDescent="0.3">
      <c r="A569" t="s">
        <v>1167</v>
      </c>
      <c r="B569" t="s">
        <v>1168</v>
      </c>
      <c r="C569" t="s">
        <v>22</v>
      </c>
      <c r="D569">
        <v>21</v>
      </c>
      <c r="E569" s="20" t="str">
        <f t="shared" si="8"/>
        <v>18-25</v>
      </c>
      <c r="F569" t="s">
        <v>13</v>
      </c>
      <c r="G569">
        <v>5</v>
      </c>
      <c r="H569">
        <v>1500.4</v>
      </c>
      <c r="I569" t="s">
        <v>14</v>
      </c>
      <c r="J569" s="1">
        <v>44510</v>
      </c>
      <c r="K569" t="s">
        <v>24</v>
      </c>
    </row>
    <row r="570" spans="1:11" x14ac:dyDescent="0.3">
      <c r="A570" t="s">
        <v>1169</v>
      </c>
      <c r="B570" t="s">
        <v>1170</v>
      </c>
      <c r="C570" t="s">
        <v>22</v>
      </c>
      <c r="D570">
        <v>69</v>
      </c>
      <c r="E570" s="20" t="str">
        <f t="shared" si="8"/>
        <v>60+</v>
      </c>
      <c r="F570" t="s">
        <v>59</v>
      </c>
      <c r="G570">
        <v>4</v>
      </c>
      <c r="H570">
        <v>143.36000000000001</v>
      </c>
      <c r="I570" t="s">
        <v>28</v>
      </c>
      <c r="J570" s="1">
        <v>44382</v>
      </c>
      <c r="K570" t="s">
        <v>15</v>
      </c>
    </row>
    <row r="571" spans="1:11" x14ac:dyDescent="0.3">
      <c r="A571" t="s">
        <v>1171</v>
      </c>
      <c r="B571" t="s">
        <v>1172</v>
      </c>
      <c r="C571" t="s">
        <v>22</v>
      </c>
      <c r="D571">
        <v>59</v>
      </c>
      <c r="E571" s="20" t="str">
        <f t="shared" si="8"/>
        <v>46-60</v>
      </c>
      <c r="F571" t="s">
        <v>59</v>
      </c>
      <c r="G571">
        <v>3</v>
      </c>
      <c r="H571">
        <v>107.52</v>
      </c>
      <c r="I571" t="s">
        <v>14</v>
      </c>
      <c r="J571" s="1">
        <v>44729</v>
      </c>
      <c r="K571" t="s">
        <v>60</v>
      </c>
    </row>
    <row r="572" spans="1:11" x14ac:dyDescent="0.3">
      <c r="A572" t="s">
        <v>1173</v>
      </c>
      <c r="B572" t="s">
        <v>1174</v>
      </c>
      <c r="C572" t="s">
        <v>12</v>
      </c>
      <c r="D572">
        <v>69</v>
      </c>
      <c r="E572" s="20" t="str">
        <f t="shared" si="8"/>
        <v>60+</v>
      </c>
      <c r="F572" t="s">
        <v>13</v>
      </c>
      <c r="G572">
        <v>1</v>
      </c>
      <c r="H572">
        <v>300.08</v>
      </c>
      <c r="I572" t="s">
        <v>14</v>
      </c>
      <c r="J572" s="1">
        <v>44422</v>
      </c>
      <c r="K572" t="s">
        <v>15</v>
      </c>
    </row>
    <row r="573" spans="1:11" x14ac:dyDescent="0.3">
      <c r="A573" t="s">
        <v>1175</v>
      </c>
      <c r="B573" t="s">
        <v>1176</v>
      </c>
      <c r="C573" t="s">
        <v>22</v>
      </c>
      <c r="D573">
        <v>53</v>
      </c>
      <c r="E573" s="20" t="str">
        <f t="shared" si="8"/>
        <v>46-60</v>
      </c>
      <c r="F573" t="s">
        <v>37</v>
      </c>
      <c r="G573">
        <v>4</v>
      </c>
      <c r="H573">
        <v>20.92</v>
      </c>
      <c r="I573" t="s">
        <v>23</v>
      </c>
      <c r="J573" s="1">
        <v>44746</v>
      </c>
      <c r="K573" t="s">
        <v>84</v>
      </c>
    </row>
    <row r="574" spans="1:11" x14ac:dyDescent="0.3">
      <c r="A574" t="s">
        <v>1177</v>
      </c>
      <c r="B574" t="s">
        <v>1178</v>
      </c>
      <c r="C574" t="s">
        <v>12</v>
      </c>
      <c r="D574">
        <v>64</v>
      </c>
      <c r="E574" s="20" t="str">
        <f t="shared" si="8"/>
        <v>60+</v>
      </c>
      <c r="F574" t="s">
        <v>13</v>
      </c>
      <c r="G574">
        <v>4</v>
      </c>
      <c r="H574">
        <v>1200.32</v>
      </c>
      <c r="I574" t="s">
        <v>28</v>
      </c>
      <c r="J574" s="1">
        <v>44369</v>
      </c>
      <c r="K574" t="s">
        <v>15</v>
      </c>
    </row>
    <row r="575" spans="1:11" x14ac:dyDescent="0.3">
      <c r="A575" t="s">
        <v>1179</v>
      </c>
      <c r="B575" t="s">
        <v>1180</v>
      </c>
      <c r="C575" t="s">
        <v>22</v>
      </c>
      <c r="D575">
        <v>27</v>
      </c>
      <c r="E575" s="20" t="str">
        <f t="shared" si="8"/>
        <v>26-35</v>
      </c>
      <c r="F575" t="s">
        <v>59</v>
      </c>
      <c r="G575">
        <v>3</v>
      </c>
      <c r="H575">
        <v>107.52</v>
      </c>
      <c r="I575" t="s">
        <v>14</v>
      </c>
      <c r="J575" s="1">
        <v>44876</v>
      </c>
      <c r="K575" t="s">
        <v>43</v>
      </c>
    </row>
    <row r="576" spans="1:11" x14ac:dyDescent="0.3">
      <c r="A576" t="s">
        <v>1181</v>
      </c>
      <c r="B576" t="s">
        <v>1182</v>
      </c>
      <c r="C576" t="s">
        <v>22</v>
      </c>
      <c r="D576">
        <v>52</v>
      </c>
      <c r="E576" s="20" t="str">
        <f t="shared" si="8"/>
        <v>46-60</v>
      </c>
      <c r="F576" t="s">
        <v>31</v>
      </c>
      <c r="G576">
        <v>2</v>
      </c>
      <c r="H576">
        <v>2100</v>
      </c>
      <c r="I576" t="s">
        <v>28</v>
      </c>
      <c r="J576" s="1">
        <v>44525</v>
      </c>
      <c r="K576" t="s">
        <v>84</v>
      </c>
    </row>
    <row r="577" spans="1:11" x14ac:dyDescent="0.3">
      <c r="A577" t="s">
        <v>1183</v>
      </c>
      <c r="B577" t="s">
        <v>1184</v>
      </c>
      <c r="C577" t="s">
        <v>22</v>
      </c>
      <c r="D577">
        <v>40</v>
      </c>
      <c r="E577" s="20" t="str">
        <f t="shared" si="8"/>
        <v>36-45</v>
      </c>
      <c r="F577" t="s">
        <v>18</v>
      </c>
      <c r="G577">
        <v>3</v>
      </c>
      <c r="H577">
        <v>121.98</v>
      </c>
      <c r="I577" t="s">
        <v>28</v>
      </c>
      <c r="J577" s="1">
        <v>44920</v>
      </c>
      <c r="K577" t="s">
        <v>43</v>
      </c>
    </row>
    <row r="578" spans="1:11" x14ac:dyDescent="0.3">
      <c r="A578" t="s">
        <v>1185</v>
      </c>
      <c r="B578" t="s">
        <v>1186</v>
      </c>
      <c r="C578" t="s">
        <v>22</v>
      </c>
      <c r="D578">
        <v>69</v>
      </c>
      <c r="E578" s="20" t="str">
        <f t="shared" si="8"/>
        <v>60+</v>
      </c>
      <c r="F578" t="s">
        <v>59</v>
      </c>
      <c r="G578">
        <v>5</v>
      </c>
      <c r="H578">
        <v>179.2</v>
      </c>
      <c r="I578" t="s">
        <v>14</v>
      </c>
      <c r="J578" s="1">
        <v>44309</v>
      </c>
      <c r="K578" t="s">
        <v>84</v>
      </c>
    </row>
    <row r="579" spans="1:11" x14ac:dyDescent="0.3">
      <c r="A579" t="s">
        <v>1187</v>
      </c>
      <c r="B579" t="s">
        <v>1188</v>
      </c>
      <c r="C579" t="s">
        <v>22</v>
      </c>
      <c r="D579">
        <v>33</v>
      </c>
      <c r="E579" s="20" t="str">
        <f t="shared" ref="E579:E642" si="9">IF(D579&lt;18,"Below 18",IF(D579&lt;=25,"18-25",IF(D579&lt;=35,"26-35",IF(D579&lt;=45,"36-45",IF(D579&lt;=60,"46-60","60+")))))</f>
        <v>26-35</v>
      </c>
      <c r="F579" t="s">
        <v>48</v>
      </c>
      <c r="G579">
        <v>4</v>
      </c>
      <c r="H579">
        <v>2400.6799999999998</v>
      </c>
      <c r="I579" t="s">
        <v>28</v>
      </c>
      <c r="J579" s="1">
        <v>44695</v>
      </c>
      <c r="K579" t="s">
        <v>34</v>
      </c>
    </row>
    <row r="580" spans="1:11" x14ac:dyDescent="0.3">
      <c r="A580" t="s">
        <v>1189</v>
      </c>
      <c r="B580" t="s">
        <v>1190</v>
      </c>
      <c r="C580" t="s">
        <v>12</v>
      </c>
      <c r="D580">
        <v>61</v>
      </c>
      <c r="E580" s="20" t="str">
        <f t="shared" si="9"/>
        <v>60+</v>
      </c>
      <c r="F580" t="s">
        <v>13</v>
      </c>
      <c r="G580">
        <v>3</v>
      </c>
      <c r="H580">
        <v>900.24</v>
      </c>
      <c r="I580" t="s">
        <v>28</v>
      </c>
      <c r="J580" s="1">
        <v>44648</v>
      </c>
      <c r="K580" t="s">
        <v>43</v>
      </c>
    </row>
    <row r="581" spans="1:11" x14ac:dyDescent="0.3">
      <c r="A581" t="s">
        <v>1191</v>
      </c>
      <c r="B581" t="s">
        <v>1192</v>
      </c>
      <c r="C581" t="s">
        <v>22</v>
      </c>
      <c r="D581">
        <v>62</v>
      </c>
      <c r="E581" s="20" t="str">
        <f t="shared" si="9"/>
        <v>60+</v>
      </c>
      <c r="F581" t="s">
        <v>48</v>
      </c>
      <c r="G581">
        <v>1</v>
      </c>
      <c r="H581">
        <v>600.16999999999996</v>
      </c>
      <c r="I581" t="s">
        <v>28</v>
      </c>
      <c r="J581" s="1">
        <v>44313</v>
      </c>
      <c r="K581" t="s">
        <v>60</v>
      </c>
    </row>
    <row r="582" spans="1:11" x14ac:dyDescent="0.3">
      <c r="A582" t="s">
        <v>1193</v>
      </c>
      <c r="B582" t="s">
        <v>1194</v>
      </c>
      <c r="C582" t="s">
        <v>22</v>
      </c>
      <c r="D582">
        <v>61</v>
      </c>
      <c r="E582" s="20" t="str">
        <f t="shared" si="9"/>
        <v>60+</v>
      </c>
      <c r="F582" t="s">
        <v>13</v>
      </c>
      <c r="G582">
        <v>5</v>
      </c>
      <c r="H582">
        <v>1500.4</v>
      </c>
      <c r="I582" t="s">
        <v>14</v>
      </c>
      <c r="J582" s="1">
        <v>44944</v>
      </c>
      <c r="K582" t="s">
        <v>43</v>
      </c>
    </row>
    <row r="583" spans="1:11" x14ac:dyDescent="0.3">
      <c r="A583" t="s">
        <v>1195</v>
      </c>
      <c r="B583" t="s">
        <v>1196</v>
      </c>
      <c r="C583" t="s">
        <v>12</v>
      </c>
      <c r="D583">
        <v>32</v>
      </c>
      <c r="E583" s="20" t="str">
        <f t="shared" si="9"/>
        <v>26-35</v>
      </c>
      <c r="F583" t="s">
        <v>13</v>
      </c>
      <c r="G583">
        <v>2</v>
      </c>
      <c r="H583">
        <v>600.16</v>
      </c>
      <c r="I583" t="s">
        <v>23</v>
      </c>
      <c r="J583" s="1">
        <v>44989</v>
      </c>
      <c r="K583" t="s">
        <v>24</v>
      </c>
    </row>
    <row r="584" spans="1:11" x14ac:dyDescent="0.3">
      <c r="A584" t="s">
        <v>1197</v>
      </c>
      <c r="B584" t="s">
        <v>1198</v>
      </c>
      <c r="C584" t="s">
        <v>12</v>
      </c>
      <c r="D584">
        <v>41</v>
      </c>
      <c r="E584" s="20" t="str">
        <f t="shared" si="9"/>
        <v>36-45</v>
      </c>
      <c r="F584" t="s">
        <v>48</v>
      </c>
      <c r="G584">
        <v>1</v>
      </c>
      <c r="H584">
        <v>600.16999999999996</v>
      </c>
      <c r="I584" t="s">
        <v>14</v>
      </c>
      <c r="J584" s="1">
        <v>44848</v>
      </c>
      <c r="K584" t="s">
        <v>24</v>
      </c>
    </row>
    <row r="585" spans="1:11" x14ac:dyDescent="0.3">
      <c r="A585" t="s">
        <v>1199</v>
      </c>
      <c r="B585" t="s">
        <v>1200</v>
      </c>
      <c r="C585" t="s">
        <v>22</v>
      </c>
      <c r="D585">
        <v>25</v>
      </c>
      <c r="E585" s="20" t="str">
        <f t="shared" si="9"/>
        <v>18-25</v>
      </c>
      <c r="F585" t="s">
        <v>27</v>
      </c>
      <c r="G585">
        <v>4</v>
      </c>
      <c r="H585">
        <v>60.6</v>
      </c>
      <c r="I585" t="s">
        <v>14</v>
      </c>
      <c r="J585" s="1">
        <v>44975</v>
      </c>
      <c r="K585" t="s">
        <v>53</v>
      </c>
    </row>
    <row r="586" spans="1:11" x14ac:dyDescent="0.3">
      <c r="A586" t="s">
        <v>1201</v>
      </c>
      <c r="B586" t="s">
        <v>1202</v>
      </c>
      <c r="C586" t="s">
        <v>22</v>
      </c>
      <c r="D586">
        <v>34</v>
      </c>
      <c r="E586" s="20" t="str">
        <f t="shared" si="9"/>
        <v>26-35</v>
      </c>
      <c r="F586" t="s">
        <v>56</v>
      </c>
      <c r="G586">
        <v>2</v>
      </c>
      <c r="H586">
        <v>23.46</v>
      </c>
      <c r="I586" t="s">
        <v>14</v>
      </c>
      <c r="J586" s="1">
        <v>44680</v>
      </c>
      <c r="K586" t="s">
        <v>60</v>
      </c>
    </row>
    <row r="587" spans="1:11" x14ac:dyDescent="0.3">
      <c r="A587" t="s">
        <v>1203</v>
      </c>
      <c r="B587" t="s">
        <v>1204</v>
      </c>
      <c r="C587" t="s">
        <v>22</v>
      </c>
      <c r="D587">
        <v>24</v>
      </c>
      <c r="E587" s="20" t="str">
        <f t="shared" si="9"/>
        <v>18-25</v>
      </c>
      <c r="F587" t="s">
        <v>48</v>
      </c>
      <c r="G587">
        <v>2</v>
      </c>
      <c r="H587">
        <v>1200.3399999999999</v>
      </c>
      <c r="I587" t="s">
        <v>28</v>
      </c>
      <c r="J587" s="1">
        <v>44897</v>
      </c>
      <c r="K587" t="s">
        <v>19</v>
      </c>
    </row>
    <row r="588" spans="1:11" x14ac:dyDescent="0.3">
      <c r="A588" t="s">
        <v>1205</v>
      </c>
      <c r="B588" t="s">
        <v>1206</v>
      </c>
      <c r="C588" t="s">
        <v>22</v>
      </c>
      <c r="D588">
        <v>47</v>
      </c>
      <c r="E588" s="20" t="str">
        <f t="shared" si="9"/>
        <v>46-60</v>
      </c>
      <c r="F588" t="s">
        <v>13</v>
      </c>
      <c r="G588">
        <v>1</v>
      </c>
      <c r="H588">
        <v>300.08</v>
      </c>
      <c r="I588" t="s">
        <v>14</v>
      </c>
      <c r="J588" s="1">
        <v>44941</v>
      </c>
      <c r="K588" t="s">
        <v>24</v>
      </c>
    </row>
    <row r="589" spans="1:11" x14ac:dyDescent="0.3">
      <c r="A589" t="s">
        <v>1207</v>
      </c>
      <c r="B589" t="s">
        <v>1208</v>
      </c>
      <c r="C589" t="s">
        <v>12</v>
      </c>
      <c r="D589">
        <v>27</v>
      </c>
      <c r="E589" s="20" t="str">
        <f t="shared" si="9"/>
        <v>26-35</v>
      </c>
      <c r="F589" t="s">
        <v>31</v>
      </c>
      <c r="G589">
        <v>2</v>
      </c>
      <c r="H589">
        <v>2100</v>
      </c>
      <c r="I589" t="s">
        <v>14</v>
      </c>
      <c r="J589" s="1">
        <v>44951</v>
      </c>
      <c r="K589" t="s">
        <v>24</v>
      </c>
    </row>
    <row r="590" spans="1:11" x14ac:dyDescent="0.3">
      <c r="A590" t="s">
        <v>1209</v>
      </c>
      <c r="B590" t="s">
        <v>1210</v>
      </c>
      <c r="C590" t="s">
        <v>22</v>
      </c>
      <c r="D590">
        <v>68</v>
      </c>
      <c r="E590" s="20" t="str">
        <f t="shared" si="9"/>
        <v>60+</v>
      </c>
      <c r="F590" t="s">
        <v>48</v>
      </c>
      <c r="G590">
        <v>3</v>
      </c>
      <c r="H590">
        <v>1800.51</v>
      </c>
      <c r="I590" t="s">
        <v>14</v>
      </c>
      <c r="J590" s="1">
        <v>44279</v>
      </c>
      <c r="K590" t="s">
        <v>60</v>
      </c>
    </row>
    <row r="591" spans="1:11" x14ac:dyDescent="0.3">
      <c r="A591" t="s">
        <v>1211</v>
      </c>
      <c r="B591" t="s">
        <v>1212</v>
      </c>
      <c r="C591" t="s">
        <v>22</v>
      </c>
      <c r="D591">
        <v>26</v>
      </c>
      <c r="E591" s="20" t="str">
        <f t="shared" si="9"/>
        <v>26-35</v>
      </c>
      <c r="F591" t="s">
        <v>18</v>
      </c>
      <c r="G591">
        <v>4</v>
      </c>
      <c r="H591">
        <v>162.63999999999999</v>
      </c>
      <c r="I591" t="s">
        <v>14</v>
      </c>
      <c r="J591" s="1">
        <v>44948</v>
      </c>
      <c r="K591" t="s">
        <v>43</v>
      </c>
    </row>
    <row r="592" spans="1:11" x14ac:dyDescent="0.3">
      <c r="A592" t="s">
        <v>1213</v>
      </c>
      <c r="B592" t="s">
        <v>1214</v>
      </c>
      <c r="C592" t="s">
        <v>22</v>
      </c>
      <c r="D592">
        <v>67</v>
      </c>
      <c r="E592" s="20" t="str">
        <f t="shared" si="9"/>
        <v>60+</v>
      </c>
      <c r="F592" t="s">
        <v>13</v>
      </c>
      <c r="G592">
        <v>2</v>
      </c>
      <c r="H592">
        <v>600.16</v>
      </c>
      <c r="I592" t="s">
        <v>28</v>
      </c>
      <c r="J592" s="1">
        <v>44544</v>
      </c>
      <c r="K592" t="s">
        <v>15</v>
      </c>
    </row>
    <row r="593" spans="1:11" x14ac:dyDescent="0.3">
      <c r="A593" t="s">
        <v>1215</v>
      </c>
      <c r="B593" t="s">
        <v>1216</v>
      </c>
      <c r="C593" t="s">
        <v>12</v>
      </c>
      <c r="D593">
        <v>52</v>
      </c>
      <c r="E593" s="20" t="str">
        <f t="shared" si="9"/>
        <v>46-60</v>
      </c>
      <c r="F593" t="s">
        <v>18</v>
      </c>
      <c r="G593">
        <v>2</v>
      </c>
      <c r="H593">
        <v>81.319999999999993</v>
      </c>
      <c r="I593" t="s">
        <v>28</v>
      </c>
      <c r="J593" s="1">
        <v>44365</v>
      </c>
      <c r="K593" t="s">
        <v>43</v>
      </c>
    </row>
    <row r="594" spans="1:11" x14ac:dyDescent="0.3">
      <c r="A594" t="s">
        <v>1217</v>
      </c>
      <c r="B594" t="s">
        <v>1218</v>
      </c>
      <c r="C594" t="s">
        <v>12</v>
      </c>
      <c r="D594">
        <v>38</v>
      </c>
      <c r="E594" s="20" t="str">
        <f t="shared" si="9"/>
        <v>36-45</v>
      </c>
      <c r="F594" t="s">
        <v>13</v>
      </c>
      <c r="G594">
        <v>4</v>
      </c>
      <c r="H594">
        <v>1200.32</v>
      </c>
      <c r="I594" t="s">
        <v>14</v>
      </c>
      <c r="J594" s="1">
        <v>44722</v>
      </c>
      <c r="K594" t="s">
        <v>40</v>
      </c>
    </row>
    <row r="595" spans="1:11" x14ac:dyDescent="0.3">
      <c r="A595" t="s">
        <v>1219</v>
      </c>
      <c r="B595" t="s">
        <v>1220</v>
      </c>
      <c r="C595" t="s">
        <v>12</v>
      </c>
      <c r="D595">
        <v>57</v>
      </c>
      <c r="E595" s="20" t="str">
        <f t="shared" si="9"/>
        <v>46-60</v>
      </c>
      <c r="F595" t="s">
        <v>27</v>
      </c>
      <c r="G595">
        <v>4</v>
      </c>
      <c r="H595">
        <v>60.6</v>
      </c>
      <c r="I595" t="s">
        <v>28</v>
      </c>
      <c r="J595" s="1">
        <v>44304</v>
      </c>
      <c r="K595" t="s">
        <v>53</v>
      </c>
    </row>
    <row r="596" spans="1:11" x14ac:dyDescent="0.3">
      <c r="A596" t="s">
        <v>1221</v>
      </c>
      <c r="B596" t="s">
        <v>1222</v>
      </c>
      <c r="C596" t="s">
        <v>12</v>
      </c>
      <c r="D596">
        <v>32</v>
      </c>
      <c r="E596" s="20" t="str">
        <f t="shared" si="9"/>
        <v>26-35</v>
      </c>
      <c r="F596" t="s">
        <v>56</v>
      </c>
      <c r="G596">
        <v>4</v>
      </c>
      <c r="H596">
        <v>46.92</v>
      </c>
      <c r="I596" t="s">
        <v>14</v>
      </c>
      <c r="J596" s="1">
        <v>44424</v>
      </c>
      <c r="K596" t="s">
        <v>34</v>
      </c>
    </row>
    <row r="597" spans="1:11" x14ac:dyDescent="0.3">
      <c r="A597" t="s">
        <v>1223</v>
      </c>
      <c r="B597" t="s">
        <v>1224</v>
      </c>
      <c r="C597" t="s">
        <v>12</v>
      </c>
      <c r="D597">
        <v>69</v>
      </c>
      <c r="E597" s="20" t="str">
        <f t="shared" si="9"/>
        <v>60+</v>
      </c>
      <c r="F597" t="s">
        <v>13</v>
      </c>
      <c r="G597">
        <v>5</v>
      </c>
      <c r="H597">
        <v>1500.4</v>
      </c>
      <c r="I597" t="s">
        <v>14</v>
      </c>
      <c r="J597" s="1">
        <v>44249</v>
      </c>
      <c r="K597" t="s">
        <v>60</v>
      </c>
    </row>
    <row r="598" spans="1:11" x14ac:dyDescent="0.3">
      <c r="A598" t="s">
        <v>1225</v>
      </c>
      <c r="B598" t="s">
        <v>1226</v>
      </c>
      <c r="C598" t="s">
        <v>22</v>
      </c>
      <c r="D598">
        <v>52</v>
      </c>
      <c r="E598" s="20" t="str">
        <f t="shared" si="9"/>
        <v>46-60</v>
      </c>
      <c r="F598" t="s">
        <v>48</v>
      </c>
      <c r="G598">
        <v>3</v>
      </c>
      <c r="H598">
        <v>1800.51</v>
      </c>
      <c r="I598" t="s">
        <v>14</v>
      </c>
      <c r="J598" s="1">
        <v>44609</v>
      </c>
      <c r="K598" t="s">
        <v>60</v>
      </c>
    </row>
    <row r="599" spans="1:11" x14ac:dyDescent="0.3">
      <c r="A599" t="s">
        <v>1227</v>
      </c>
      <c r="B599" t="s">
        <v>1228</v>
      </c>
      <c r="C599" t="s">
        <v>22</v>
      </c>
      <c r="D599">
        <v>21</v>
      </c>
      <c r="E599" s="20" t="str">
        <f t="shared" si="9"/>
        <v>18-25</v>
      </c>
      <c r="F599" t="s">
        <v>18</v>
      </c>
      <c r="G599">
        <v>2</v>
      </c>
      <c r="H599">
        <v>81.319999999999993</v>
      </c>
      <c r="I599" t="s">
        <v>23</v>
      </c>
      <c r="J599" s="1">
        <v>44824</v>
      </c>
      <c r="K599" t="s">
        <v>73</v>
      </c>
    </row>
    <row r="600" spans="1:11" x14ac:dyDescent="0.3">
      <c r="A600" t="s">
        <v>1229</v>
      </c>
      <c r="B600" t="s">
        <v>1230</v>
      </c>
      <c r="C600" t="s">
        <v>22</v>
      </c>
      <c r="D600">
        <v>36</v>
      </c>
      <c r="E600" s="20" t="str">
        <f t="shared" si="9"/>
        <v>36-45</v>
      </c>
      <c r="F600" t="s">
        <v>37</v>
      </c>
      <c r="G600">
        <v>1</v>
      </c>
      <c r="H600">
        <v>5.23</v>
      </c>
      <c r="I600" t="s">
        <v>28</v>
      </c>
      <c r="J600" s="1">
        <v>44663</v>
      </c>
      <c r="K600" t="s">
        <v>19</v>
      </c>
    </row>
    <row r="601" spans="1:11" x14ac:dyDescent="0.3">
      <c r="A601" t="s">
        <v>1231</v>
      </c>
      <c r="B601" t="s">
        <v>1232</v>
      </c>
      <c r="C601" t="s">
        <v>12</v>
      </c>
      <c r="D601">
        <v>51</v>
      </c>
      <c r="E601" s="20" t="str">
        <f t="shared" si="9"/>
        <v>46-60</v>
      </c>
      <c r="F601" t="s">
        <v>37</v>
      </c>
      <c r="G601">
        <v>2</v>
      </c>
      <c r="H601">
        <v>10.46</v>
      </c>
      <c r="I601" t="s">
        <v>28</v>
      </c>
      <c r="J601" s="1">
        <v>44647</v>
      </c>
      <c r="K601" t="s">
        <v>43</v>
      </c>
    </row>
    <row r="602" spans="1:11" x14ac:dyDescent="0.3">
      <c r="A602" t="s">
        <v>1233</v>
      </c>
      <c r="B602" t="s">
        <v>1234</v>
      </c>
      <c r="C602" t="s">
        <v>12</v>
      </c>
      <c r="D602">
        <v>53</v>
      </c>
      <c r="E602" s="20" t="str">
        <f t="shared" si="9"/>
        <v>46-60</v>
      </c>
      <c r="F602" t="s">
        <v>37</v>
      </c>
      <c r="G602">
        <v>4</v>
      </c>
      <c r="H602">
        <v>20.92</v>
      </c>
      <c r="I602" t="s">
        <v>14</v>
      </c>
      <c r="J602" s="1">
        <v>44313</v>
      </c>
      <c r="K602" t="s">
        <v>84</v>
      </c>
    </row>
    <row r="603" spans="1:11" x14ac:dyDescent="0.3">
      <c r="A603" t="s">
        <v>1235</v>
      </c>
      <c r="B603" t="s">
        <v>1236</v>
      </c>
      <c r="C603" t="s">
        <v>22</v>
      </c>
      <c r="D603">
        <v>64</v>
      </c>
      <c r="E603" s="20" t="str">
        <f t="shared" si="9"/>
        <v>60+</v>
      </c>
      <c r="F603" t="s">
        <v>13</v>
      </c>
      <c r="G603">
        <v>5</v>
      </c>
      <c r="H603">
        <v>1500.4</v>
      </c>
      <c r="I603" t="s">
        <v>28</v>
      </c>
      <c r="J603" s="1">
        <v>44291</v>
      </c>
      <c r="K603" t="s">
        <v>24</v>
      </c>
    </row>
    <row r="604" spans="1:11" x14ac:dyDescent="0.3">
      <c r="A604" t="s">
        <v>1237</v>
      </c>
      <c r="B604" t="s">
        <v>1238</v>
      </c>
      <c r="C604" t="s">
        <v>22</v>
      </c>
      <c r="D604">
        <v>23</v>
      </c>
      <c r="E604" s="20" t="str">
        <f t="shared" si="9"/>
        <v>18-25</v>
      </c>
      <c r="F604" t="s">
        <v>56</v>
      </c>
      <c r="G604">
        <v>1</v>
      </c>
      <c r="H604">
        <v>11.73</v>
      </c>
      <c r="I604" t="s">
        <v>28</v>
      </c>
      <c r="J604" s="1">
        <v>44249</v>
      </c>
      <c r="K604" t="s">
        <v>43</v>
      </c>
    </row>
    <row r="605" spans="1:11" x14ac:dyDescent="0.3">
      <c r="A605" t="s">
        <v>1239</v>
      </c>
      <c r="B605" t="s">
        <v>1240</v>
      </c>
      <c r="C605" t="s">
        <v>22</v>
      </c>
      <c r="D605">
        <v>36</v>
      </c>
      <c r="E605" s="20" t="str">
        <f t="shared" si="9"/>
        <v>36-45</v>
      </c>
      <c r="F605" t="s">
        <v>18</v>
      </c>
      <c r="G605">
        <v>3</v>
      </c>
      <c r="H605">
        <v>121.98</v>
      </c>
      <c r="I605" t="s">
        <v>14</v>
      </c>
      <c r="J605" s="1">
        <v>44251</v>
      </c>
      <c r="K605" t="s">
        <v>43</v>
      </c>
    </row>
    <row r="606" spans="1:11" x14ac:dyDescent="0.3">
      <c r="A606" t="s">
        <v>1241</v>
      </c>
      <c r="B606" t="s">
        <v>1242</v>
      </c>
      <c r="C606" t="s">
        <v>12</v>
      </c>
      <c r="D606">
        <v>65</v>
      </c>
      <c r="E606" s="20" t="str">
        <f t="shared" si="9"/>
        <v>60+</v>
      </c>
      <c r="F606" t="s">
        <v>48</v>
      </c>
      <c r="G606">
        <v>2</v>
      </c>
      <c r="H606">
        <v>1200.3399999999999</v>
      </c>
      <c r="I606" t="s">
        <v>28</v>
      </c>
      <c r="J606" s="1">
        <v>44710</v>
      </c>
      <c r="K606" t="s">
        <v>34</v>
      </c>
    </row>
    <row r="607" spans="1:11" x14ac:dyDescent="0.3">
      <c r="A607" t="s">
        <v>1243</v>
      </c>
      <c r="B607" t="s">
        <v>1244</v>
      </c>
      <c r="C607" t="s">
        <v>12</v>
      </c>
      <c r="D607">
        <v>41</v>
      </c>
      <c r="E607" s="20" t="str">
        <f t="shared" si="9"/>
        <v>36-45</v>
      </c>
      <c r="F607" t="s">
        <v>56</v>
      </c>
      <c r="G607">
        <v>4</v>
      </c>
      <c r="H607">
        <v>46.92</v>
      </c>
      <c r="I607" t="s">
        <v>14</v>
      </c>
      <c r="J607" s="1">
        <v>44649</v>
      </c>
      <c r="K607" t="s">
        <v>19</v>
      </c>
    </row>
    <row r="608" spans="1:11" x14ac:dyDescent="0.3">
      <c r="A608" t="s">
        <v>1245</v>
      </c>
      <c r="B608" t="s">
        <v>1246</v>
      </c>
      <c r="C608" t="s">
        <v>22</v>
      </c>
      <c r="D608">
        <v>46</v>
      </c>
      <c r="E608" s="20" t="str">
        <f t="shared" si="9"/>
        <v>46-60</v>
      </c>
      <c r="F608" t="s">
        <v>18</v>
      </c>
      <c r="G608">
        <v>5</v>
      </c>
      <c r="H608">
        <v>203.3</v>
      </c>
      <c r="I608" t="s">
        <v>23</v>
      </c>
      <c r="J608" s="1">
        <v>44771</v>
      </c>
      <c r="K608" t="s">
        <v>40</v>
      </c>
    </row>
    <row r="609" spans="1:11" x14ac:dyDescent="0.3">
      <c r="A609" t="s">
        <v>1247</v>
      </c>
      <c r="B609" t="s">
        <v>1248</v>
      </c>
      <c r="C609" t="s">
        <v>12</v>
      </c>
      <c r="D609">
        <v>42</v>
      </c>
      <c r="E609" s="20" t="str">
        <f t="shared" si="9"/>
        <v>36-45</v>
      </c>
      <c r="F609" t="s">
        <v>13</v>
      </c>
      <c r="G609">
        <v>1</v>
      </c>
      <c r="H609">
        <v>300.08</v>
      </c>
      <c r="I609" t="s">
        <v>28</v>
      </c>
      <c r="J609" s="1">
        <v>44826</v>
      </c>
      <c r="K609" t="s">
        <v>43</v>
      </c>
    </row>
    <row r="610" spans="1:11" x14ac:dyDescent="0.3">
      <c r="A610" t="s">
        <v>1249</v>
      </c>
      <c r="B610" t="s">
        <v>1250</v>
      </c>
      <c r="C610" t="s">
        <v>12</v>
      </c>
      <c r="D610">
        <v>32</v>
      </c>
      <c r="E610" s="20" t="str">
        <f t="shared" si="9"/>
        <v>26-35</v>
      </c>
      <c r="F610" t="s">
        <v>13</v>
      </c>
      <c r="G610">
        <v>4</v>
      </c>
      <c r="H610">
        <v>1200.32</v>
      </c>
      <c r="I610" t="s">
        <v>28</v>
      </c>
      <c r="J610" s="1">
        <v>44489</v>
      </c>
      <c r="K610" t="s">
        <v>60</v>
      </c>
    </row>
    <row r="611" spans="1:11" x14ac:dyDescent="0.3">
      <c r="A611" t="s">
        <v>1251</v>
      </c>
      <c r="B611" t="s">
        <v>1252</v>
      </c>
      <c r="C611" t="s">
        <v>22</v>
      </c>
      <c r="D611">
        <v>37</v>
      </c>
      <c r="E611" s="20" t="str">
        <f t="shared" si="9"/>
        <v>36-45</v>
      </c>
      <c r="F611" t="s">
        <v>37</v>
      </c>
      <c r="G611">
        <v>4</v>
      </c>
      <c r="H611">
        <v>20.92</v>
      </c>
      <c r="I611" t="s">
        <v>23</v>
      </c>
      <c r="J611" s="1">
        <v>44495</v>
      </c>
      <c r="K611" t="s">
        <v>73</v>
      </c>
    </row>
    <row r="612" spans="1:11" x14ac:dyDescent="0.3">
      <c r="A612" t="s">
        <v>1253</v>
      </c>
      <c r="B612" t="s">
        <v>1254</v>
      </c>
      <c r="C612" t="s">
        <v>22</v>
      </c>
      <c r="D612">
        <v>39</v>
      </c>
      <c r="E612" s="20" t="str">
        <f t="shared" si="9"/>
        <v>36-45</v>
      </c>
      <c r="F612" t="s">
        <v>27</v>
      </c>
      <c r="G612">
        <v>3</v>
      </c>
      <c r="H612">
        <v>45.45</v>
      </c>
      <c r="I612" t="s">
        <v>28</v>
      </c>
      <c r="J612" s="1">
        <v>44973</v>
      </c>
      <c r="K612" t="s">
        <v>15</v>
      </c>
    </row>
    <row r="613" spans="1:11" x14ac:dyDescent="0.3">
      <c r="A613" t="s">
        <v>1255</v>
      </c>
      <c r="B613" t="s">
        <v>1256</v>
      </c>
      <c r="C613" t="s">
        <v>12</v>
      </c>
      <c r="D613">
        <v>66</v>
      </c>
      <c r="E613" s="20" t="str">
        <f t="shared" si="9"/>
        <v>60+</v>
      </c>
      <c r="F613" t="s">
        <v>31</v>
      </c>
      <c r="G613">
        <v>3</v>
      </c>
      <c r="H613">
        <v>3150</v>
      </c>
      <c r="I613" t="s">
        <v>23</v>
      </c>
      <c r="J613" s="1">
        <v>44960</v>
      </c>
      <c r="K613" t="s">
        <v>24</v>
      </c>
    </row>
    <row r="614" spans="1:11" x14ac:dyDescent="0.3">
      <c r="A614" t="s">
        <v>1257</v>
      </c>
      <c r="B614" t="s">
        <v>1258</v>
      </c>
      <c r="C614" t="s">
        <v>12</v>
      </c>
      <c r="D614">
        <v>53</v>
      </c>
      <c r="E614" s="20" t="str">
        <f t="shared" si="9"/>
        <v>46-60</v>
      </c>
      <c r="F614" t="s">
        <v>27</v>
      </c>
      <c r="G614">
        <v>2</v>
      </c>
      <c r="H614">
        <v>30.3</v>
      </c>
      <c r="I614" t="s">
        <v>28</v>
      </c>
      <c r="J614" s="1">
        <v>44362</v>
      </c>
      <c r="K614" t="s">
        <v>24</v>
      </c>
    </row>
    <row r="615" spans="1:11" x14ac:dyDescent="0.3">
      <c r="A615" t="s">
        <v>1259</v>
      </c>
      <c r="B615" t="s">
        <v>1260</v>
      </c>
      <c r="C615" t="s">
        <v>12</v>
      </c>
      <c r="D615">
        <v>41</v>
      </c>
      <c r="E615" s="20" t="str">
        <f t="shared" si="9"/>
        <v>36-45</v>
      </c>
      <c r="F615" t="s">
        <v>18</v>
      </c>
      <c r="G615">
        <v>3</v>
      </c>
      <c r="H615">
        <v>121.98</v>
      </c>
      <c r="I615" t="s">
        <v>23</v>
      </c>
      <c r="J615" s="1">
        <v>44561</v>
      </c>
      <c r="K615" t="s">
        <v>15</v>
      </c>
    </row>
    <row r="616" spans="1:11" x14ac:dyDescent="0.3">
      <c r="A616" t="s">
        <v>1261</v>
      </c>
      <c r="B616" t="s">
        <v>1262</v>
      </c>
      <c r="C616" t="s">
        <v>22</v>
      </c>
      <c r="D616">
        <v>18</v>
      </c>
      <c r="E616" s="20" t="str">
        <f t="shared" si="9"/>
        <v>18-25</v>
      </c>
      <c r="F616" t="s">
        <v>56</v>
      </c>
      <c r="G616">
        <v>5</v>
      </c>
      <c r="H616">
        <v>58.65</v>
      </c>
      <c r="I616" t="s">
        <v>14</v>
      </c>
      <c r="J616" s="1">
        <v>44920</v>
      </c>
      <c r="K616" t="s">
        <v>84</v>
      </c>
    </row>
    <row r="617" spans="1:11" x14ac:dyDescent="0.3">
      <c r="A617" t="s">
        <v>1263</v>
      </c>
      <c r="B617" t="s">
        <v>1264</v>
      </c>
      <c r="C617" t="s">
        <v>12</v>
      </c>
      <c r="D617">
        <v>52</v>
      </c>
      <c r="E617" s="20" t="str">
        <f t="shared" si="9"/>
        <v>46-60</v>
      </c>
      <c r="F617" t="s">
        <v>31</v>
      </c>
      <c r="G617">
        <v>3</v>
      </c>
      <c r="H617">
        <v>3150</v>
      </c>
      <c r="I617" t="s">
        <v>14</v>
      </c>
      <c r="J617" s="1">
        <v>44243</v>
      </c>
      <c r="K617" t="s">
        <v>34</v>
      </c>
    </row>
    <row r="618" spans="1:11" x14ac:dyDescent="0.3">
      <c r="A618" t="s">
        <v>1265</v>
      </c>
      <c r="B618" t="s">
        <v>1266</v>
      </c>
      <c r="C618" t="s">
        <v>22</v>
      </c>
      <c r="D618">
        <v>26</v>
      </c>
      <c r="E618" s="20" t="str">
        <f t="shared" si="9"/>
        <v>26-35</v>
      </c>
      <c r="F618" t="s">
        <v>37</v>
      </c>
      <c r="G618">
        <v>5</v>
      </c>
      <c r="H618">
        <v>26.15</v>
      </c>
      <c r="I618" t="s">
        <v>14</v>
      </c>
      <c r="J618" s="1">
        <v>44982</v>
      </c>
      <c r="K618" t="s">
        <v>84</v>
      </c>
    </row>
    <row r="619" spans="1:11" x14ac:dyDescent="0.3">
      <c r="A619" t="s">
        <v>1267</v>
      </c>
      <c r="B619" t="s">
        <v>1268</v>
      </c>
      <c r="C619" t="s">
        <v>12</v>
      </c>
      <c r="D619">
        <v>56</v>
      </c>
      <c r="E619" s="20" t="str">
        <f t="shared" si="9"/>
        <v>46-60</v>
      </c>
      <c r="F619" t="s">
        <v>13</v>
      </c>
      <c r="G619">
        <v>3</v>
      </c>
      <c r="H619">
        <v>900.24</v>
      </c>
      <c r="I619" t="s">
        <v>28</v>
      </c>
      <c r="J619" s="1">
        <v>44950</v>
      </c>
      <c r="K619" t="s">
        <v>34</v>
      </c>
    </row>
    <row r="620" spans="1:11" x14ac:dyDescent="0.3">
      <c r="A620" t="s">
        <v>1269</v>
      </c>
      <c r="B620" t="s">
        <v>1270</v>
      </c>
      <c r="C620" t="s">
        <v>22</v>
      </c>
      <c r="D620">
        <v>57</v>
      </c>
      <c r="E620" s="20" t="str">
        <f t="shared" si="9"/>
        <v>46-60</v>
      </c>
      <c r="F620" t="s">
        <v>13</v>
      </c>
      <c r="G620">
        <v>5</v>
      </c>
      <c r="H620">
        <v>1500.4</v>
      </c>
      <c r="I620" t="s">
        <v>28</v>
      </c>
      <c r="J620" s="1">
        <v>44595</v>
      </c>
      <c r="K620" t="s">
        <v>34</v>
      </c>
    </row>
    <row r="621" spans="1:11" x14ac:dyDescent="0.3">
      <c r="A621" t="s">
        <v>1271</v>
      </c>
      <c r="B621" t="s">
        <v>1272</v>
      </c>
      <c r="C621" t="s">
        <v>12</v>
      </c>
      <c r="D621">
        <v>57</v>
      </c>
      <c r="E621" s="20" t="str">
        <f t="shared" si="9"/>
        <v>46-60</v>
      </c>
      <c r="F621" t="s">
        <v>59</v>
      </c>
      <c r="G621">
        <v>5</v>
      </c>
      <c r="H621">
        <v>179.2</v>
      </c>
      <c r="I621" t="s">
        <v>28</v>
      </c>
      <c r="J621" s="1">
        <v>44511</v>
      </c>
      <c r="K621" t="s">
        <v>24</v>
      </c>
    </row>
    <row r="622" spans="1:11" x14ac:dyDescent="0.3">
      <c r="A622" t="s">
        <v>1273</v>
      </c>
      <c r="B622" t="s">
        <v>1274</v>
      </c>
      <c r="C622" t="s">
        <v>22</v>
      </c>
      <c r="D622">
        <v>22</v>
      </c>
      <c r="E622" s="20" t="str">
        <f t="shared" si="9"/>
        <v>18-25</v>
      </c>
      <c r="F622" t="s">
        <v>13</v>
      </c>
      <c r="G622">
        <v>2</v>
      </c>
      <c r="H622">
        <v>600.16</v>
      </c>
      <c r="I622" t="s">
        <v>14</v>
      </c>
      <c r="J622" s="1">
        <v>44568</v>
      </c>
      <c r="K622" t="s">
        <v>43</v>
      </c>
    </row>
    <row r="623" spans="1:11" x14ac:dyDescent="0.3">
      <c r="A623" t="s">
        <v>1275</v>
      </c>
      <c r="B623" t="s">
        <v>1276</v>
      </c>
      <c r="C623" t="s">
        <v>22</v>
      </c>
      <c r="D623">
        <v>42</v>
      </c>
      <c r="E623" s="20" t="str">
        <f t="shared" si="9"/>
        <v>36-45</v>
      </c>
      <c r="F623" t="s">
        <v>13</v>
      </c>
      <c r="G623">
        <v>5</v>
      </c>
      <c r="H623">
        <v>1500.4</v>
      </c>
      <c r="I623" t="s">
        <v>23</v>
      </c>
      <c r="J623" s="1">
        <v>44787</v>
      </c>
      <c r="K623" t="s">
        <v>24</v>
      </c>
    </row>
    <row r="624" spans="1:11" x14ac:dyDescent="0.3">
      <c r="A624" t="s">
        <v>1277</v>
      </c>
      <c r="B624" t="s">
        <v>1278</v>
      </c>
      <c r="C624" t="s">
        <v>12</v>
      </c>
      <c r="D624">
        <v>25</v>
      </c>
      <c r="E624" s="20" t="str">
        <f t="shared" si="9"/>
        <v>18-25</v>
      </c>
      <c r="F624" t="s">
        <v>13</v>
      </c>
      <c r="G624">
        <v>2</v>
      </c>
      <c r="H624">
        <v>600.16</v>
      </c>
      <c r="I624" t="s">
        <v>14</v>
      </c>
      <c r="J624" s="1">
        <v>44979</v>
      </c>
      <c r="K624" t="s">
        <v>24</v>
      </c>
    </row>
    <row r="625" spans="1:11" x14ac:dyDescent="0.3">
      <c r="A625" t="s">
        <v>1279</v>
      </c>
      <c r="B625" t="s">
        <v>1280</v>
      </c>
      <c r="C625" t="s">
        <v>22</v>
      </c>
      <c r="D625">
        <v>40</v>
      </c>
      <c r="E625" s="20" t="str">
        <f t="shared" si="9"/>
        <v>36-45</v>
      </c>
      <c r="F625" t="s">
        <v>31</v>
      </c>
      <c r="G625">
        <v>5</v>
      </c>
      <c r="H625">
        <v>5250</v>
      </c>
      <c r="I625" t="s">
        <v>14</v>
      </c>
      <c r="J625" s="1">
        <v>44228</v>
      </c>
      <c r="K625" t="s">
        <v>15</v>
      </c>
    </row>
    <row r="626" spans="1:11" x14ac:dyDescent="0.3">
      <c r="A626" t="s">
        <v>1281</v>
      </c>
      <c r="B626" t="s">
        <v>1282</v>
      </c>
      <c r="C626" t="s">
        <v>12</v>
      </c>
      <c r="D626">
        <v>57</v>
      </c>
      <c r="E626" s="20" t="str">
        <f t="shared" si="9"/>
        <v>46-60</v>
      </c>
      <c r="F626" t="s">
        <v>59</v>
      </c>
      <c r="G626">
        <v>1</v>
      </c>
      <c r="H626">
        <v>35.840000000000003</v>
      </c>
      <c r="I626" t="s">
        <v>28</v>
      </c>
      <c r="J626" s="1">
        <v>44455</v>
      </c>
      <c r="K626" t="s">
        <v>40</v>
      </c>
    </row>
    <row r="627" spans="1:11" x14ac:dyDescent="0.3">
      <c r="A627" t="s">
        <v>1283</v>
      </c>
      <c r="B627" t="s">
        <v>1284</v>
      </c>
      <c r="C627" t="s">
        <v>12</v>
      </c>
      <c r="D627">
        <v>45</v>
      </c>
      <c r="E627" s="20" t="str">
        <f t="shared" si="9"/>
        <v>36-45</v>
      </c>
      <c r="F627" t="s">
        <v>13</v>
      </c>
      <c r="G627">
        <v>2</v>
      </c>
      <c r="H627">
        <v>600.16</v>
      </c>
      <c r="I627" t="s">
        <v>28</v>
      </c>
      <c r="J627" s="1">
        <v>44835</v>
      </c>
      <c r="K627" t="s">
        <v>34</v>
      </c>
    </row>
    <row r="628" spans="1:11" x14ac:dyDescent="0.3">
      <c r="A628" t="s">
        <v>1285</v>
      </c>
      <c r="B628" t="s">
        <v>1286</v>
      </c>
      <c r="C628" t="s">
        <v>12</v>
      </c>
      <c r="D628">
        <v>66</v>
      </c>
      <c r="E628" s="20" t="str">
        <f t="shared" si="9"/>
        <v>60+</v>
      </c>
      <c r="F628" t="s">
        <v>13</v>
      </c>
      <c r="G628">
        <v>4</v>
      </c>
      <c r="H628">
        <v>1200.32</v>
      </c>
      <c r="I628" t="s">
        <v>28</v>
      </c>
      <c r="J628" s="1">
        <v>44283</v>
      </c>
      <c r="K628" t="s">
        <v>40</v>
      </c>
    </row>
    <row r="629" spans="1:11" x14ac:dyDescent="0.3">
      <c r="A629" t="s">
        <v>1287</v>
      </c>
      <c r="B629" t="s">
        <v>1288</v>
      </c>
      <c r="C629" t="s">
        <v>22</v>
      </c>
      <c r="D629">
        <v>52</v>
      </c>
      <c r="E629" s="20" t="str">
        <f t="shared" si="9"/>
        <v>46-60</v>
      </c>
      <c r="F629" t="s">
        <v>48</v>
      </c>
      <c r="G629">
        <v>1</v>
      </c>
      <c r="H629">
        <v>600.16999999999996</v>
      </c>
      <c r="I629" t="s">
        <v>14</v>
      </c>
      <c r="J629" s="1">
        <v>44471</v>
      </c>
      <c r="K629" t="s">
        <v>40</v>
      </c>
    </row>
    <row r="630" spans="1:11" x14ac:dyDescent="0.3">
      <c r="A630" t="s">
        <v>1289</v>
      </c>
      <c r="B630" t="s">
        <v>1290</v>
      </c>
      <c r="C630" t="s">
        <v>22</v>
      </c>
      <c r="D630">
        <v>32</v>
      </c>
      <c r="E630" s="20" t="str">
        <f t="shared" si="9"/>
        <v>26-35</v>
      </c>
      <c r="F630" t="s">
        <v>18</v>
      </c>
      <c r="G630">
        <v>3</v>
      </c>
      <c r="H630">
        <v>121.98</v>
      </c>
      <c r="I630" t="s">
        <v>14</v>
      </c>
      <c r="J630" s="1">
        <v>44362</v>
      </c>
      <c r="K630" t="s">
        <v>43</v>
      </c>
    </row>
    <row r="631" spans="1:11" x14ac:dyDescent="0.3">
      <c r="A631" t="s">
        <v>1291</v>
      </c>
      <c r="B631" t="s">
        <v>1292</v>
      </c>
      <c r="C631" t="s">
        <v>22</v>
      </c>
      <c r="D631">
        <v>54</v>
      </c>
      <c r="E631" s="20" t="str">
        <f t="shared" si="9"/>
        <v>46-60</v>
      </c>
      <c r="F631" t="s">
        <v>37</v>
      </c>
      <c r="G631">
        <v>5</v>
      </c>
      <c r="H631">
        <v>26.15</v>
      </c>
      <c r="I631" t="s">
        <v>23</v>
      </c>
      <c r="J631" s="1">
        <v>44340</v>
      </c>
      <c r="K631" t="s">
        <v>43</v>
      </c>
    </row>
    <row r="632" spans="1:11" x14ac:dyDescent="0.3">
      <c r="A632" t="s">
        <v>1293</v>
      </c>
      <c r="B632" t="s">
        <v>1294</v>
      </c>
      <c r="C632" t="s">
        <v>22</v>
      </c>
      <c r="D632">
        <v>64</v>
      </c>
      <c r="E632" s="20" t="str">
        <f t="shared" si="9"/>
        <v>60+</v>
      </c>
      <c r="F632" t="s">
        <v>13</v>
      </c>
      <c r="G632">
        <v>2</v>
      </c>
      <c r="H632">
        <v>600.16</v>
      </c>
      <c r="I632" t="s">
        <v>23</v>
      </c>
      <c r="J632" s="1">
        <v>44203</v>
      </c>
      <c r="K632" t="s">
        <v>43</v>
      </c>
    </row>
    <row r="633" spans="1:11" x14ac:dyDescent="0.3">
      <c r="A633" t="s">
        <v>1295</v>
      </c>
      <c r="B633" t="s">
        <v>1296</v>
      </c>
      <c r="C633" t="s">
        <v>22</v>
      </c>
      <c r="D633">
        <v>47</v>
      </c>
      <c r="E633" s="20" t="str">
        <f t="shared" si="9"/>
        <v>46-60</v>
      </c>
      <c r="F633" t="s">
        <v>13</v>
      </c>
      <c r="G633">
        <v>5</v>
      </c>
      <c r="H633">
        <v>1500.4</v>
      </c>
      <c r="I633" t="s">
        <v>23</v>
      </c>
      <c r="J633" s="1">
        <v>44972</v>
      </c>
      <c r="K633" t="s">
        <v>53</v>
      </c>
    </row>
    <row r="634" spans="1:11" x14ac:dyDescent="0.3">
      <c r="A634" t="s">
        <v>1297</v>
      </c>
      <c r="B634" t="s">
        <v>1298</v>
      </c>
      <c r="C634" t="s">
        <v>22</v>
      </c>
      <c r="D634">
        <v>31</v>
      </c>
      <c r="E634" s="20" t="str">
        <f t="shared" si="9"/>
        <v>26-35</v>
      </c>
      <c r="F634" t="s">
        <v>48</v>
      </c>
      <c r="G634">
        <v>1</v>
      </c>
      <c r="H634">
        <v>600.16999999999996</v>
      </c>
      <c r="I634" t="s">
        <v>14</v>
      </c>
      <c r="J634" s="1">
        <v>44513</v>
      </c>
      <c r="K634" t="s">
        <v>53</v>
      </c>
    </row>
    <row r="635" spans="1:11" x14ac:dyDescent="0.3">
      <c r="A635" t="s">
        <v>1299</v>
      </c>
      <c r="B635" t="s">
        <v>1300</v>
      </c>
      <c r="C635" t="s">
        <v>12</v>
      </c>
      <c r="D635">
        <v>37</v>
      </c>
      <c r="E635" s="20" t="str">
        <f t="shared" si="9"/>
        <v>36-45</v>
      </c>
      <c r="F635" t="s">
        <v>37</v>
      </c>
      <c r="G635">
        <v>1</v>
      </c>
      <c r="H635">
        <v>5.23</v>
      </c>
      <c r="I635" t="s">
        <v>14</v>
      </c>
      <c r="J635" s="1">
        <v>44253</v>
      </c>
      <c r="K635" t="s">
        <v>60</v>
      </c>
    </row>
    <row r="636" spans="1:11" x14ac:dyDescent="0.3">
      <c r="A636" t="s">
        <v>1301</v>
      </c>
      <c r="B636" t="s">
        <v>1302</v>
      </c>
      <c r="C636" t="s">
        <v>22</v>
      </c>
      <c r="D636">
        <v>18</v>
      </c>
      <c r="E636" s="20" t="str">
        <f t="shared" si="9"/>
        <v>18-25</v>
      </c>
      <c r="F636" t="s">
        <v>13</v>
      </c>
      <c r="G636">
        <v>3</v>
      </c>
      <c r="H636">
        <v>900.24</v>
      </c>
      <c r="I636" t="s">
        <v>14</v>
      </c>
      <c r="J636" s="1">
        <v>44584</v>
      </c>
      <c r="K636" t="s">
        <v>19</v>
      </c>
    </row>
    <row r="637" spans="1:11" x14ac:dyDescent="0.3">
      <c r="A637" t="s">
        <v>1303</v>
      </c>
      <c r="B637" t="s">
        <v>1304</v>
      </c>
      <c r="C637" t="s">
        <v>12</v>
      </c>
      <c r="D637">
        <v>20</v>
      </c>
      <c r="E637" s="20" t="str">
        <f t="shared" si="9"/>
        <v>18-25</v>
      </c>
      <c r="F637" t="s">
        <v>37</v>
      </c>
      <c r="G637">
        <v>4</v>
      </c>
      <c r="H637">
        <v>20.92</v>
      </c>
      <c r="I637" t="s">
        <v>23</v>
      </c>
      <c r="J637" s="1">
        <v>44783</v>
      </c>
      <c r="K637" t="s">
        <v>43</v>
      </c>
    </row>
    <row r="638" spans="1:11" x14ac:dyDescent="0.3">
      <c r="A638" t="s">
        <v>1305</v>
      </c>
      <c r="B638" t="s">
        <v>1306</v>
      </c>
      <c r="C638" t="s">
        <v>22</v>
      </c>
      <c r="D638">
        <v>43</v>
      </c>
      <c r="E638" s="20" t="str">
        <f t="shared" si="9"/>
        <v>36-45</v>
      </c>
      <c r="F638" t="s">
        <v>59</v>
      </c>
      <c r="G638">
        <v>4</v>
      </c>
      <c r="H638">
        <v>143.36000000000001</v>
      </c>
      <c r="I638" t="s">
        <v>14</v>
      </c>
      <c r="J638" s="1">
        <v>44658</v>
      </c>
      <c r="K638" t="s">
        <v>53</v>
      </c>
    </row>
    <row r="639" spans="1:11" x14ac:dyDescent="0.3">
      <c r="A639" t="s">
        <v>1307</v>
      </c>
      <c r="B639" t="s">
        <v>1308</v>
      </c>
      <c r="C639" t="s">
        <v>22</v>
      </c>
      <c r="D639">
        <v>19</v>
      </c>
      <c r="E639" s="20" t="str">
        <f t="shared" si="9"/>
        <v>18-25</v>
      </c>
      <c r="F639" t="s">
        <v>56</v>
      </c>
      <c r="G639">
        <v>5</v>
      </c>
      <c r="H639">
        <v>58.65</v>
      </c>
      <c r="I639" t="s">
        <v>28</v>
      </c>
      <c r="J639" s="1">
        <v>44875</v>
      </c>
      <c r="K639" t="s">
        <v>43</v>
      </c>
    </row>
    <row r="640" spans="1:11" x14ac:dyDescent="0.3">
      <c r="A640" t="s">
        <v>1309</v>
      </c>
      <c r="B640" t="s">
        <v>1310</v>
      </c>
      <c r="C640" t="s">
        <v>12</v>
      </c>
      <c r="D640">
        <v>51</v>
      </c>
      <c r="E640" s="20" t="str">
        <f t="shared" si="9"/>
        <v>46-60</v>
      </c>
      <c r="F640" t="s">
        <v>27</v>
      </c>
      <c r="G640">
        <v>3</v>
      </c>
      <c r="H640">
        <v>45.45</v>
      </c>
      <c r="I640" t="s">
        <v>28</v>
      </c>
      <c r="J640" s="1">
        <v>44818</v>
      </c>
      <c r="K640" t="s">
        <v>53</v>
      </c>
    </row>
    <row r="641" spans="1:11" x14ac:dyDescent="0.3">
      <c r="A641" t="s">
        <v>1311</v>
      </c>
      <c r="B641" t="s">
        <v>1312</v>
      </c>
      <c r="C641" t="s">
        <v>22</v>
      </c>
      <c r="D641">
        <v>43</v>
      </c>
      <c r="E641" s="20" t="str">
        <f t="shared" si="9"/>
        <v>36-45</v>
      </c>
      <c r="F641" t="s">
        <v>59</v>
      </c>
      <c r="G641">
        <v>1</v>
      </c>
      <c r="H641">
        <v>35.840000000000003</v>
      </c>
      <c r="I641" t="s">
        <v>14</v>
      </c>
      <c r="J641" s="1">
        <v>44810</v>
      </c>
      <c r="K641" t="s">
        <v>43</v>
      </c>
    </row>
    <row r="642" spans="1:11" x14ac:dyDescent="0.3">
      <c r="A642" t="s">
        <v>1313</v>
      </c>
      <c r="B642" t="s">
        <v>1314</v>
      </c>
      <c r="C642" t="s">
        <v>22</v>
      </c>
      <c r="D642">
        <v>58</v>
      </c>
      <c r="E642" s="20" t="str">
        <f t="shared" si="9"/>
        <v>46-60</v>
      </c>
      <c r="F642" t="s">
        <v>59</v>
      </c>
      <c r="G642">
        <v>1</v>
      </c>
      <c r="H642">
        <v>35.840000000000003</v>
      </c>
      <c r="I642" t="s">
        <v>14</v>
      </c>
      <c r="J642" s="1">
        <v>44855</v>
      </c>
      <c r="K642" t="s">
        <v>34</v>
      </c>
    </row>
    <row r="643" spans="1:11" x14ac:dyDescent="0.3">
      <c r="A643" t="s">
        <v>1315</v>
      </c>
      <c r="B643" t="s">
        <v>1316</v>
      </c>
      <c r="C643" t="s">
        <v>12</v>
      </c>
      <c r="D643">
        <v>58</v>
      </c>
      <c r="E643" s="20" t="str">
        <f t="shared" ref="E643:E706" si="10">IF(D643&lt;18,"Below 18",IF(D643&lt;=25,"18-25",IF(D643&lt;=35,"26-35",IF(D643&lt;=45,"36-45",IF(D643&lt;=60,"46-60","60+")))))</f>
        <v>46-60</v>
      </c>
      <c r="F643" t="s">
        <v>37</v>
      </c>
      <c r="G643">
        <v>1</v>
      </c>
      <c r="H643">
        <v>5.23</v>
      </c>
      <c r="I643" t="s">
        <v>14</v>
      </c>
      <c r="J643" s="1">
        <v>44335</v>
      </c>
      <c r="K643" t="s">
        <v>73</v>
      </c>
    </row>
    <row r="644" spans="1:11" x14ac:dyDescent="0.3">
      <c r="A644" t="s">
        <v>1317</v>
      </c>
      <c r="B644" t="s">
        <v>1318</v>
      </c>
      <c r="C644" t="s">
        <v>12</v>
      </c>
      <c r="D644">
        <v>39</v>
      </c>
      <c r="E644" s="20" t="str">
        <f t="shared" si="10"/>
        <v>36-45</v>
      </c>
      <c r="F644" t="s">
        <v>59</v>
      </c>
      <c r="G644">
        <v>4</v>
      </c>
      <c r="H644">
        <v>143.36000000000001</v>
      </c>
      <c r="I644" t="s">
        <v>14</v>
      </c>
      <c r="J644" s="1">
        <v>44397</v>
      </c>
      <c r="K644" t="s">
        <v>84</v>
      </c>
    </row>
    <row r="645" spans="1:11" x14ac:dyDescent="0.3">
      <c r="A645" t="s">
        <v>1319</v>
      </c>
      <c r="B645" t="s">
        <v>1320</v>
      </c>
      <c r="C645" t="s">
        <v>12</v>
      </c>
      <c r="D645">
        <v>50</v>
      </c>
      <c r="E645" s="20" t="str">
        <f t="shared" si="10"/>
        <v>46-60</v>
      </c>
      <c r="F645" t="s">
        <v>18</v>
      </c>
      <c r="G645">
        <v>3</v>
      </c>
      <c r="H645">
        <v>121.98</v>
      </c>
      <c r="I645" t="s">
        <v>14</v>
      </c>
      <c r="J645" s="1">
        <v>44429</v>
      </c>
      <c r="K645" t="s">
        <v>24</v>
      </c>
    </row>
    <row r="646" spans="1:11" x14ac:dyDescent="0.3">
      <c r="A646" t="s">
        <v>1321</v>
      </c>
      <c r="B646" t="s">
        <v>1322</v>
      </c>
      <c r="C646" t="s">
        <v>12</v>
      </c>
      <c r="D646">
        <v>42</v>
      </c>
      <c r="E646" s="20" t="str">
        <f t="shared" si="10"/>
        <v>36-45</v>
      </c>
      <c r="F646" t="s">
        <v>18</v>
      </c>
      <c r="G646">
        <v>3</v>
      </c>
      <c r="H646">
        <v>121.98</v>
      </c>
      <c r="I646" t="s">
        <v>28</v>
      </c>
      <c r="J646" s="1">
        <v>44409</v>
      </c>
      <c r="K646" t="s">
        <v>43</v>
      </c>
    </row>
    <row r="647" spans="1:11" x14ac:dyDescent="0.3">
      <c r="A647" t="s">
        <v>1323</v>
      </c>
      <c r="B647" t="s">
        <v>1324</v>
      </c>
      <c r="C647" t="s">
        <v>12</v>
      </c>
      <c r="D647">
        <v>40</v>
      </c>
      <c r="E647" s="20" t="str">
        <f t="shared" si="10"/>
        <v>36-45</v>
      </c>
      <c r="F647" t="s">
        <v>37</v>
      </c>
      <c r="G647">
        <v>3</v>
      </c>
      <c r="H647">
        <v>15.69</v>
      </c>
      <c r="I647" t="s">
        <v>28</v>
      </c>
      <c r="J647" s="1">
        <v>44338</v>
      </c>
      <c r="K647" t="s">
        <v>60</v>
      </c>
    </row>
    <row r="648" spans="1:11" x14ac:dyDescent="0.3">
      <c r="A648" t="s">
        <v>1325</v>
      </c>
      <c r="B648" t="s">
        <v>1326</v>
      </c>
      <c r="C648" t="s">
        <v>12</v>
      </c>
      <c r="D648">
        <v>65</v>
      </c>
      <c r="E648" s="20" t="str">
        <f t="shared" si="10"/>
        <v>60+</v>
      </c>
      <c r="F648" t="s">
        <v>59</v>
      </c>
      <c r="G648">
        <v>3</v>
      </c>
      <c r="H648">
        <v>107.52</v>
      </c>
      <c r="I648" t="s">
        <v>28</v>
      </c>
      <c r="J648" s="1">
        <v>44348</v>
      </c>
      <c r="K648" t="s">
        <v>60</v>
      </c>
    </row>
    <row r="649" spans="1:11" x14ac:dyDescent="0.3">
      <c r="A649" t="s">
        <v>1327</v>
      </c>
      <c r="B649" t="s">
        <v>1328</v>
      </c>
      <c r="C649" t="s">
        <v>12</v>
      </c>
      <c r="D649">
        <v>23</v>
      </c>
      <c r="E649" s="20" t="str">
        <f t="shared" si="10"/>
        <v>18-25</v>
      </c>
      <c r="F649" t="s">
        <v>27</v>
      </c>
      <c r="G649">
        <v>1</v>
      </c>
      <c r="H649">
        <v>15.15</v>
      </c>
      <c r="I649" t="s">
        <v>23</v>
      </c>
      <c r="J649" s="1">
        <v>44413</v>
      </c>
      <c r="K649" t="s">
        <v>24</v>
      </c>
    </row>
    <row r="650" spans="1:11" x14ac:dyDescent="0.3">
      <c r="A650" t="s">
        <v>1329</v>
      </c>
      <c r="B650" t="s">
        <v>1330</v>
      </c>
      <c r="C650" t="s">
        <v>22</v>
      </c>
      <c r="D650">
        <v>58</v>
      </c>
      <c r="E650" s="20" t="str">
        <f t="shared" si="10"/>
        <v>46-60</v>
      </c>
      <c r="F650" t="s">
        <v>18</v>
      </c>
      <c r="G650">
        <v>4</v>
      </c>
      <c r="H650">
        <v>162.63999999999999</v>
      </c>
      <c r="I650" t="s">
        <v>14</v>
      </c>
      <c r="J650" s="1">
        <v>44609</v>
      </c>
      <c r="K650" t="s">
        <v>60</v>
      </c>
    </row>
    <row r="651" spans="1:11" x14ac:dyDescent="0.3">
      <c r="A651" t="s">
        <v>1331</v>
      </c>
      <c r="B651" t="s">
        <v>1332</v>
      </c>
      <c r="C651" t="s">
        <v>12</v>
      </c>
      <c r="D651">
        <v>20</v>
      </c>
      <c r="E651" s="20" t="str">
        <f t="shared" si="10"/>
        <v>18-25</v>
      </c>
      <c r="F651" t="s">
        <v>13</v>
      </c>
      <c r="G651">
        <v>2</v>
      </c>
      <c r="H651">
        <v>600.16</v>
      </c>
      <c r="I651" t="s">
        <v>28</v>
      </c>
      <c r="J651" s="1">
        <v>44768</v>
      </c>
      <c r="K651" t="s">
        <v>24</v>
      </c>
    </row>
    <row r="652" spans="1:11" x14ac:dyDescent="0.3">
      <c r="A652" t="s">
        <v>1333</v>
      </c>
      <c r="B652" t="s">
        <v>1334</v>
      </c>
      <c r="C652" t="s">
        <v>22</v>
      </c>
      <c r="D652">
        <v>56</v>
      </c>
      <c r="E652" s="20" t="str">
        <f t="shared" si="10"/>
        <v>46-60</v>
      </c>
      <c r="F652" t="s">
        <v>13</v>
      </c>
      <c r="G652">
        <v>2</v>
      </c>
      <c r="H652">
        <v>600.16</v>
      </c>
      <c r="I652" t="s">
        <v>14</v>
      </c>
      <c r="J652" s="1">
        <v>44329</v>
      </c>
      <c r="K652" t="s">
        <v>24</v>
      </c>
    </row>
    <row r="653" spans="1:11" x14ac:dyDescent="0.3">
      <c r="A653" t="s">
        <v>1335</v>
      </c>
      <c r="B653" t="s">
        <v>1336</v>
      </c>
      <c r="C653" t="s">
        <v>22</v>
      </c>
      <c r="D653">
        <v>38</v>
      </c>
      <c r="E653" s="20" t="str">
        <f t="shared" si="10"/>
        <v>36-45</v>
      </c>
      <c r="F653" t="s">
        <v>13</v>
      </c>
      <c r="G653">
        <v>1</v>
      </c>
      <c r="H653">
        <v>300.08</v>
      </c>
      <c r="I653" t="s">
        <v>28</v>
      </c>
      <c r="J653" s="1">
        <v>44688</v>
      </c>
      <c r="K653" t="s">
        <v>19</v>
      </c>
    </row>
    <row r="654" spans="1:11" x14ac:dyDescent="0.3">
      <c r="A654" t="s">
        <v>1337</v>
      </c>
      <c r="B654" t="s">
        <v>1338</v>
      </c>
      <c r="C654" t="s">
        <v>22</v>
      </c>
      <c r="D654">
        <v>50</v>
      </c>
      <c r="E654" s="20" t="str">
        <f t="shared" si="10"/>
        <v>46-60</v>
      </c>
      <c r="F654" t="s">
        <v>18</v>
      </c>
      <c r="G654">
        <v>1</v>
      </c>
      <c r="H654">
        <v>40.659999999999997</v>
      </c>
      <c r="I654" t="s">
        <v>23</v>
      </c>
      <c r="J654" s="1">
        <v>44678</v>
      </c>
      <c r="K654" t="s">
        <v>24</v>
      </c>
    </row>
    <row r="655" spans="1:11" x14ac:dyDescent="0.3">
      <c r="A655" t="s">
        <v>1339</v>
      </c>
      <c r="B655" t="s">
        <v>1340</v>
      </c>
      <c r="C655" t="s">
        <v>22</v>
      </c>
      <c r="D655">
        <v>45</v>
      </c>
      <c r="E655" s="20" t="str">
        <f t="shared" si="10"/>
        <v>36-45</v>
      </c>
      <c r="F655" t="s">
        <v>56</v>
      </c>
      <c r="G655">
        <v>3</v>
      </c>
      <c r="H655">
        <v>35.19</v>
      </c>
      <c r="I655" t="s">
        <v>14</v>
      </c>
      <c r="J655" s="1">
        <v>44908</v>
      </c>
      <c r="K655" t="s">
        <v>73</v>
      </c>
    </row>
    <row r="656" spans="1:11" x14ac:dyDescent="0.3">
      <c r="A656" t="s">
        <v>1341</v>
      </c>
      <c r="B656" t="s">
        <v>1342</v>
      </c>
      <c r="C656" t="s">
        <v>12</v>
      </c>
      <c r="D656">
        <v>36</v>
      </c>
      <c r="E656" s="20" t="str">
        <f t="shared" si="10"/>
        <v>36-45</v>
      </c>
      <c r="F656" t="s">
        <v>48</v>
      </c>
      <c r="G656">
        <v>5</v>
      </c>
      <c r="H656">
        <v>3000.85</v>
      </c>
      <c r="I656" t="s">
        <v>28</v>
      </c>
      <c r="J656" s="1">
        <v>44631</v>
      </c>
      <c r="K656" t="s">
        <v>43</v>
      </c>
    </row>
    <row r="657" spans="1:11" x14ac:dyDescent="0.3">
      <c r="A657" t="s">
        <v>1343</v>
      </c>
      <c r="B657" t="s">
        <v>1344</v>
      </c>
      <c r="C657" t="s">
        <v>22</v>
      </c>
      <c r="D657">
        <v>40</v>
      </c>
      <c r="E657" s="20" t="str">
        <f t="shared" si="10"/>
        <v>36-45</v>
      </c>
      <c r="F657" t="s">
        <v>13</v>
      </c>
      <c r="G657">
        <v>2</v>
      </c>
      <c r="H657">
        <v>600.16</v>
      </c>
      <c r="I657" t="s">
        <v>23</v>
      </c>
      <c r="J657" s="1">
        <v>44674</v>
      </c>
      <c r="K657" t="s">
        <v>60</v>
      </c>
    </row>
    <row r="658" spans="1:11" x14ac:dyDescent="0.3">
      <c r="A658" t="s">
        <v>1345</v>
      </c>
      <c r="B658" t="s">
        <v>1346</v>
      </c>
      <c r="C658" t="s">
        <v>22</v>
      </c>
      <c r="D658">
        <v>20</v>
      </c>
      <c r="E658" s="20" t="str">
        <f t="shared" si="10"/>
        <v>18-25</v>
      </c>
      <c r="F658" t="s">
        <v>56</v>
      </c>
      <c r="G658">
        <v>1</v>
      </c>
      <c r="H658">
        <v>11.73</v>
      </c>
      <c r="I658" t="s">
        <v>14</v>
      </c>
      <c r="J658" s="1">
        <v>44384</v>
      </c>
      <c r="K658" t="s">
        <v>34</v>
      </c>
    </row>
    <row r="659" spans="1:11" x14ac:dyDescent="0.3">
      <c r="A659" t="s">
        <v>1347</v>
      </c>
      <c r="B659" t="s">
        <v>1348</v>
      </c>
      <c r="C659" t="s">
        <v>22</v>
      </c>
      <c r="D659">
        <v>65</v>
      </c>
      <c r="E659" s="20" t="str">
        <f t="shared" si="10"/>
        <v>60+</v>
      </c>
      <c r="F659" t="s">
        <v>37</v>
      </c>
      <c r="G659">
        <v>2</v>
      </c>
      <c r="H659">
        <v>10.46</v>
      </c>
      <c r="I659" t="s">
        <v>14</v>
      </c>
      <c r="J659" s="1">
        <v>44586</v>
      </c>
      <c r="K659" t="s">
        <v>19</v>
      </c>
    </row>
    <row r="660" spans="1:11" x14ac:dyDescent="0.3">
      <c r="A660" t="s">
        <v>1349</v>
      </c>
      <c r="B660" t="s">
        <v>1350</v>
      </c>
      <c r="C660" t="s">
        <v>12</v>
      </c>
      <c r="D660">
        <v>26</v>
      </c>
      <c r="E660" s="20" t="str">
        <f t="shared" si="10"/>
        <v>26-35</v>
      </c>
      <c r="F660" t="s">
        <v>13</v>
      </c>
      <c r="G660">
        <v>4</v>
      </c>
      <c r="H660">
        <v>1200.32</v>
      </c>
      <c r="I660" t="s">
        <v>14</v>
      </c>
      <c r="J660" s="1">
        <v>44306</v>
      </c>
      <c r="K660" t="s">
        <v>53</v>
      </c>
    </row>
    <row r="661" spans="1:11" x14ac:dyDescent="0.3">
      <c r="A661" t="s">
        <v>1351</v>
      </c>
      <c r="B661" t="s">
        <v>1352</v>
      </c>
      <c r="C661" t="s">
        <v>22</v>
      </c>
      <c r="D661">
        <v>38</v>
      </c>
      <c r="E661" s="20" t="str">
        <f t="shared" si="10"/>
        <v>36-45</v>
      </c>
      <c r="F661" t="s">
        <v>18</v>
      </c>
      <c r="G661">
        <v>5</v>
      </c>
      <c r="H661">
        <v>203.3</v>
      </c>
      <c r="I661" t="s">
        <v>28</v>
      </c>
      <c r="J661" s="1">
        <v>44839</v>
      </c>
      <c r="K661" t="s">
        <v>43</v>
      </c>
    </row>
    <row r="662" spans="1:11" x14ac:dyDescent="0.3">
      <c r="A662" t="s">
        <v>1353</v>
      </c>
      <c r="B662" t="s">
        <v>1354</v>
      </c>
      <c r="C662" t="s">
        <v>22</v>
      </c>
      <c r="D662">
        <v>61</v>
      </c>
      <c r="E662" s="20" t="str">
        <f t="shared" si="10"/>
        <v>60+</v>
      </c>
      <c r="F662" t="s">
        <v>18</v>
      </c>
      <c r="G662">
        <v>1</v>
      </c>
      <c r="H662">
        <v>40.659999999999997</v>
      </c>
      <c r="I662" t="s">
        <v>14</v>
      </c>
      <c r="J662" s="1">
        <v>44407</v>
      </c>
      <c r="K662" t="s">
        <v>34</v>
      </c>
    </row>
    <row r="663" spans="1:11" x14ac:dyDescent="0.3">
      <c r="A663" t="s">
        <v>1355</v>
      </c>
      <c r="B663" t="s">
        <v>1356</v>
      </c>
      <c r="C663" t="s">
        <v>22</v>
      </c>
      <c r="D663">
        <v>31</v>
      </c>
      <c r="E663" s="20" t="str">
        <f t="shared" si="10"/>
        <v>26-35</v>
      </c>
      <c r="F663" t="s">
        <v>56</v>
      </c>
      <c r="G663">
        <v>5</v>
      </c>
      <c r="H663">
        <v>58.65</v>
      </c>
      <c r="I663" t="s">
        <v>28</v>
      </c>
      <c r="J663" s="1">
        <v>44732</v>
      </c>
      <c r="K663" t="s">
        <v>34</v>
      </c>
    </row>
    <row r="664" spans="1:11" x14ac:dyDescent="0.3">
      <c r="A664" t="s">
        <v>1357</v>
      </c>
      <c r="B664" t="s">
        <v>1358</v>
      </c>
      <c r="C664" t="s">
        <v>12</v>
      </c>
      <c r="D664">
        <v>25</v>
      </c>
      <c r="E664" s="20" t="str">
        <f t="shared" si="10"/>
        <v>18-25</v>
      </c>
      <c r="F664" t="s">
        <v>48</v>
      </c>
      <c r="G664">
        <v>2</v>
      </c>
      <c r="H664">
        <v>1200.3399999999999</v>
      </c>
      <c r="I664" t="s">
        <v>14</v>
      </c>
      <c r="J664" s="1">
        <v>44611</v>
      </c>
      <c r="K664" t="s">
        <v>34</v>
      </c>
    </row>
    <row r="665" spans="1:11" x14ac:dyDescent="0.3">
      <c r="A665" t="s">
        <v>1359</v>
      </c>
      <c r="B665" t="s">
        <v>1360</v>
      </c>
      <c r="C665" t="s">
        <v>12</v>
      </c>
      <c r="D665">
        <v>36</v>
      </c>
      <c r="E665" s="20" t="str">
        <f t="shared" si="10"/>
        <v>36-45</v>
      </c>
      <c r="F665" t="s">
        <v>13</v>
      </c>
      <c r="G665">
        <v>3</v>
      </c>
      <c r="H665">
        <v>900.24</v>
      </c>
      <c r="I665" t="s">
        <v>14</v>
      </c>
      <c r="J665" s="1">
        <v>44324</v>
      </c>
      <c r="K665" t="s">
        <v>60</v>
      </c>
    </row>
    <row r="666" spans="1:11" x14ac:dyDescent="0.3">
      <c r="A666" t="s">
        <v>1361</v>
      </c>
      <c r="B666" t="s">
        <v>1362</v>
      </c>
      <c r="C666" t="s">
        <v>22</v>
      </c>
      <c r="D666">
        <v>26</v>
      </c>
      <c r="E666" s="20" t="str">
        <f t="shared" si="10"/>
        <v>26-35</v>
      </c>
      <c r="F666" t="s">
        <v>59</v>
      </c>
      <c r="G666">
        <v>3</v>
      </c>
      <c r="H666">
        <v>107.52</v>
      </c>
      <c r="I666" t="s">
        <v>23</v>
      </c>
      <c r="J666" s="1">
        <v>44635</v>
      </c>
      <c r="K666" t="s">
        <v>84</v>
      </c>
    </row>
    <row r="667" spans="1:11" x14ac:dyDescent="0.3">
      <c r="A667" t="s">
        <v>1363</v>
      </c>
      <c r="B667" t="s">
        <v>1364</v>
      </c>
      <c r="C667" t="s">
        <v>22</v>
      </c>
      <c r="D667">
        <v>21</v>
      </c>
      <c r="E667" s="20" t="str">
        <f t="shared" si="10"/>
        <v>18-25</v>
      </c>
      <c r="F667" t="s">
        <v>48</v>
      </c>
      <c r="G667">
        <v>5</v>
      </c>
      <c r="H667">
        <v>3000.85</v>
      </c>
      <c r="I667" t="s">
        <v>14</v>
      </c>
      <c r="J667" s="1">
        <v>44881</v>
      </c>
      <c r="K667" t="s">
        <v>19</v>
      </c>
    </row>
    <row r="668" spans="1:11" x14ac:dyDescent="0.3">
      <c r="A668" t="s">
        <v>1365</v>
      </c>
      <c r="B668" t="s">
        <v>1366</v>
      </c>
      <c r="C668" t="s">
        <v>22</v>
      </c>
      <c r="D668">
        <v>69</v>
      </c>
      <c r="E668" s="20" t="str">
        <f t="shared" si="10"/>
        <v>60+</v>
      </c>
      <c r="F668" t="s">
        <v>56</v>
      </c>
      <c r="G668">
        <v>1</v>
      </c>
      <c r="H668">
        <v>11.73</v>
      </c>
      <c r="I668" t="s">
        <v>23</v>
      </c>
      <c r="J668" s="1">
        <v>44651</v>
      </c>
      <c r="K668" t="s">
        <v>43</v>
      </c>
    </row>
    <row r="669" spans="1:11" x14ac:dyDescent="0.3">
      <c r="A669" t="s">
        <v>1367</v>
      </c>
      <c r="B669" t="s">
        <v>1368</v>
      </c>
      <c r="C669" t="s">
        <v>22</v>
      </c>
      <c r="D669">
        <v>30</v>
      </c>
      <c r="E669" s="20" t="str">
        <f t="shared" si="10"/>
        <v>26-35</v>
      </c>
      <c r="F669" t="s">
        <v>13</v>
      </c>
      <c r="G669">
        <v>5</v>
      </c>
      <c r="H669">
        <v>1500.4</v>
      </c>
      <c r="I669" t="s">
        <v>23</v>
      </c>
      <c r="J669" s="1">
        <v>44763</v>
      </c>
      <c r="K669" t="s">
        <v>43</v>
      </c>
    </row>
    <row r="670" spans="1:11" x14ac:dyDescent="0.3">
      <c r="A670" t="s">
        <v>1369</v>
      </c>
      <c r="B670" t="s">
        <v>1370</v>
      </c>
      <c r="C670" t="s">
        <v>12</v>
      </c>
      <c r="D670">
        <v>66</v>
      </c>
      <c r="E670" s="20" t="str">
        <f t="shared" si="10"/>
        <v>60+</v>
      </c>
      <c r="F670" t="s">
        <v>48</v>
      </c>
      <c r="G670">
        <v>2</v>
      </c>
      <c r="H670">
        <v>1200.3399999999999</v>
      </c>
      <c r="I670" t="s">
        <v>28</v>
      </c>
      <c r="J670" s="1">
        <v>44723</v>
      </c>
      <c r="K670" t="s">
        <v>84</v>
      </c>
    </row>
    <row r="671" spans="1:11" x14ac:dyDescent="0.3">
      <c r="A671" t="s">
        <v>1371</v>
      </c>
      <c r="B671" t="s">
        <v>1372</v>
      </c>
      <c r="C671" t="s">
        <v>12</v>
      </c>
      <c r="D671">
        <v>31</v>
      </c>
      <c r="E671" s="20" t="str">
        <f t="shared" si="10"/>
        <v>26-35</v>
      </c>
      <c r="F671" t="s">
        <v>13</v>
      </c>
      <c r="G671">
        <v>5</v>
      </c>
      <c r="H671">
        <v>1500.4</v>
      </c>
      <c r="I671" t="s">
        <v>23</v>
      </c>
      <c r="J671" s="1">
        <v>44810</v>
      </c>
      <c r="K671" t="s">
        <v>24</v>
      </c>
    </row>
    <row r="672" spans="1:11" x14ac:dyDescent="0.3">
      <c r="A672" t="s">
        <v>1373</v>
      </c>
      <c r="B672" t="s">
        <v>1374</v>
      </c>
      <c r="C672" t="s">
        <v>22</v>
      </c>
      <c r="D672">
        <v>28</v>
      </c>
      <c r="E672" s="20" t="str">
        <f t="shared" si="10"/>
        <v>26-35</v>
      </c>
      <c r="F672" t="s">
        <v>48</v>
      </c>
      <c r="G672">
        <v>4</v>
      </c>
      <c r="H672">
        <v>2400.6799999999998</v>
      </c>
      <c r="I672" t="s">
        <v>28</v>
      </c>
      <c r="J672" s="1">
        <v>44372</v>
      </c>
      <c r="K672" t="s">
        <v>40</v>
      </c>
    </row>
    <row r="673" spans="1:11" x14ac:dyDescent="0.3">
      <c r="A673" t="s">
        <v>1375</v>
      </c>
      <c r="B673" t="s">
        <v>1376</v>
      </c>
      <c r="C673" t="s">
        <v>12</v>
      </c>
      <c r="D673">
        <v>26</v>
      </c>
      <c r="E673" s="20" t="str">
        <f t="shared" si="10"/>
        <v>26-35</v>
      </c>
      <c r="F673" t="s">
        <v>13</v>
      </c>
      <c r="G673">
        <v>3</v>
      </c>
      <c r="H673">
        <v>900.24</v>
      </c>
      <c r="I673" t="s">
        <v>28</v>
      </c>
      <c r="J673" s="1">
        <v>44555</v>
      </c>
      <c r="K673" t="s">
        <v>34</v>
      </c>
    </row>
    <row r="674" spans="1:11" x14ac:dyDescent="0.3">
      <c r="A674" t="s">
        <v>1377</v>
      </c>
      <c r="B674" t="s">
        <v>1378</v>
      </c>
      <c r="C674" t="s">
        <v>12</v>
      </c>
      <c r="D674">
        <v>50</v>
      </c>
      <c r="E674" s="20" t="str">
        <f t="shared" si="10"/>
        <v>46-60</v>
      </c>
      <c r="F674" t="s">
        <v>13</v>
      </c>
      <c r="G674">
        <v>5</v>
      </c>
      <c r="H674">
        <v>1500.4</v>
      </c>
      <c r="I674" t="s">
        <v>23</v>
      </c>
      <c r="J674" s="1">
        <v>44959</v>
      </c>
      <c r="K674" t="s">
        <v>34</v>
      </c>
    </row>
    <row r="675" spans="1:11" x14ac:dyDescent="0.3">
      <c r="A675" t="s">
        <v>1379</v>
      </c>
      <c r="B675" t="s">
        <v>1380</v>
      </c>
      <c r="C675" t="s">
        <v>22</v>
      </c>
      <c r="D675">
        <v>69</v>
      </c>
      <c r="E675" s="20" t="str">
        <f t="shared" si="10"/>
        <v>60+</v>
      </c>
      <c r="F675" t="s">
        <v>18</v>
      </c>
      <c r="G675">
        <v>3</v>
      </c>
      <c r="H675">
        <v>121.98</v>
      </c>
      <c r="I675" t="s">
        <v>14</v>
      </c>
      <c r="J675" s="1">
        <v>44967</v>
      </c>
      <c r="K675" t="s">
        <v>43</v>
      </c>
    </row>
    <row r="676" spans="1:11" x14ac:dyDescent="0.3">
      <c r="A676" t="s">
        <v>1381</v>
      </c>
      <c r="B676" t="s">
        <v>1382</v>
      </c>
      <c r="C676" t="s">
        <v>22</v>
      </c>
      <c r="D676">
        <v>37</v>
      </c>
      <c r="E676" s="20" t="str">
        <f t="shared" si="10"/>
        <v>36-45</v>
      </c>
      <c r="F676" t="s">
        <v>13</v>
      </c>
      <c r="G676">
        <v>1</v>
      </c>
      <c r="H676">
        <v>300.08</v>
      </c>
      <c r="I676" t="s">
        <v>28</v>
      </c>
      <c r="J676" s="1">
        <v>44701</v>
      </c>
      <c r="K676" t="s">
        <v>53</v>
      </c>
    </row>
    <row r="677" spans="1:11" x14ac:dyDescent="0.3">
      <c r="A677" t="s">
        <v>1383</v>
      </c>
      <c r="B677" t="s">
        <v>1384</v>
      </c>
      <c r="C677" t="s">
        <v>22</v>
      </c>
      <c r="D677">
        <v>19</v>
      </c>
      <c r="E677" s="20" t="str">
        <f t="shared" si="10"/>
        <v>18-25</v>
      </c>
      <c r="F677" t="s">
        <v>13</v>
      </c>
      <c r="G677">
        <v>1</v>
      </c>
      <c r="H677">
        <v>300.08</v>
      </c>
      <c r="I677" t="s">
        <v>23</v>
      </c>
      <c r="J677" s="1">
        <v>44787</v>
      </c>
      <c r="K677" t="s">
        <v>53</v>
      </c>
    </row>
    <row r="678" spans="1:11" x14ac:dyDescent="0.3">
      <c r="A678" t="s">
        <v>1385</v>
      </c>
      <c r="B678" t="s">
        <v>1386</v>
      </c>
      <c r="C678" t="s">
        <v>12</v>
      </c>
      <c r="D678">
        <v>21</v>
      </c>
      <c r="E678" s="20" t="str">
        <f t="shared" si="10"/>
        <v>18-25</v>
      </c>
      <c r="F678" t="s">
        <v>13</v>
      </c>
      <c r="G678">
        <v>4</v>
      </c>
      <c r="H678">
        <v>1200.32</v>
      </c>
      <c r="I678" t="s">
        <v>28</v>
      </c>
      <c r="J678" s="1">
        <v>44777</v>
      </c>
      <c r="K678" t="s">
        <v>34</v>
      </c>
    </row>
    <row r="679" spans="1:11" x14ac:dyDescent="0.3">
      <c r="A679" t="s">
        <v>1387</v>
      </c>
      <c r="B679" t="s">
        <v>1388</v>
      </c>
      <c r="C679" t="s">
        <v>22</v>
      </c>
      <c r="D679">
        <v>65</v>
      </c>
      <c r="E679" s="20" t="str">
        <f t="shared" si="10"/>
        <v>60+</v>
      </c>
      <c r="F679" t="s">
        <v>37</v>
      </c>
      <c r="G679">
        <v>1</v>
      </c>
      <c r="H679">
        <v>5.23</v>
      </c>
      <c r="I679" t="s">
        <v>23</v>
      </c>
      <c r="J679" s="1">
        <v>44663</v>
      </c>
      <c r="K679" t="s">
        <v>40</v>
      </c>
    </row>
    <row r="680" spans="1:11" x14ac:dyDescent="0.3">
      <c r="A680" t="s">
        <v>1389</v>
      </c>
      <c r="B680" t="s">
        <v>1390</v>
      </c>
      <c r="C680" t="s">
        <v>22</v>
      </c>
      <c r="D680">
        <v>36</v>
      </c>
      <c r="E680" s="20" t="str">
        <f t="shared" si="10"/>
        <v>36-45</v>
      </c>
      <c r="F680" t="s">
        <v>13</v>
      </c>
      <c r="G680">
        <v>1</v>
      </c>
      <c r="H680">
        <v>300.08</v>
      </c>
      <c r="I680" t="s">
        <v>28</v>
      </c>
      <c r="J680" s="1">
        <v>44571</v>
      </c>
      <c r="K680" t="s">
        <v>43</v>
      </c>
    </row>
    <row r="681" spans="1:11" x14ac:dyDescent="0.3">
      <c r="A681" t="s">
        <v>1391</v>
      </c>
      <c r="B681" t="s">
        <v>1392</v>
      </c>
      <c r="C681" t="s">
        <v>12</v>
      </c>
      <c r="D681">
        <v>34</v>
      </c>
      <c r="E681" s="20" t="str">
        <f t="shared" si="10"/>
        <v>26-35</v>
      </c>
      <c r="F681" t="s">
        <v>13</v>
      </c>
      <c r="G681">
        <v>1</v>
      </c>
      <c r="H681">
        <v>300.08</v>
      </c>
      <c r="I681" t="s">
        <v>23</v>
      </c>
      <c r="J681" s="1">
        <v>44620</v>
      </c>
      <c r="K681" t="s">
        <v>24</v>
      </c>
    </row>
    <row r="682" spans="1:11" x14ac:dyDescent="0.3">
      <c r="A682" t="s">
        <v>1393</v>
      </c>
      <c r="B682" t="s">
        <v>1394</v>
      </c>
      <c r="C682" t="s">
        <v>22</v>
      </c>
      <c r="D682">
        <v>22</v>
      </c>
      <c r="E682" s="20" t="str">
        <f t="shared" si="10"/>
        <v>18-25</v>
      </c>
      <c r="F682" t="s">
        <v>48</v>
      </c>
      <c r="G682">
        <v>2</v>
      </c>
      <c r="H682">
        <v>1200.3399999999999</v>
      </c>
      <c r="I682" t="s">
        <v>23</v>
      </c>
      <c r="J682" s="1">
        <v>44919</v>
      </c>
      <c r="K682" t="s">
        <v>84</v>
      </c>
    </row>
    <row r="683" spans="1:11" x14ac:dyDescent="0.3">
      <c r="A683" t="s">
        <v>1395</v>
      </c>
      <c r="B683" t="s">
        <v>1396</v>
      </c>
      <c r="C683" t="s">
        <v>22</v>
      </c>
      <c r="D683">
        <v>64</v>
      </c>
      <c r="E683" s="20" t="str">
        <f t="shared" si="10"/>
        <v>60+</v>
      </c>
      <c r="F683" t="s">
        <v>48</v>
      </c>
      <c r="G683">
        <v>3</v>
      </c>
      <c r="H683">
        <v>1800.51</v>
      </c>
      <c r="I683" t="s">
        <v>28</v>
      </c>
      <c r="J683" s="1">
        <v>44580</v>
      </c>
      <c r="K683" t="s">
        <v>43</v>
      </c>
    </row>
    <row r="684" spans="1:11" x14ac:dyDescent="0.3">
      <c r="A684" t="s">
        <v>1397</v>
      </c>
      <c r="B684" t="s">
        <v>1398</v>
      </c>
      <c r="C684" t="s">
        <v>22</v>
      </c>
      <c r="D684">
        <v>45</v>
      </c>
      <c r="E684" s="20" t="str">
        <f t="shared" si="10"/>
        <v>36-45</v>
      </c>
      <c r="F684" t="s">
        <v>56</v>
      </c>
      <c r="G684">
        <v>4</v>
      </c>
      <c r="H684">
        <v>46.92</v>
      </c>
      <c r="I684" t="s">
        <v>14</v>
      </c>
      <c r="J684" s="1">
        <v>44537</v>
      </c>
      <c r="K684" t="s">
        <v>24</v>
      </c>
    </row>
    <row r="685" spans="1:11" x14ac:dyDescent="0.3">
      <c r="A685" t="s">
        <v>1399</v>
      </c>
      <c r="B685" t="s">
        <v>1400</v>
      </c>
      <c r="C685" t="s">
        <v>22</v>
      </c>
      <c r="D685">
        <v>60</v>
      </c>
      <c r="E685" s="20" t="str">
        <f t="shared" si="10"/>
        <v>46-60</v>
      </c>
      <c r="F685" t="s">
        <v>13</v>
      </c>
      <c r="G685">
        <v>4</v>
      </c>
      <c r="H685">
        <v>1200.32</v>
      </c>
      <c r="I685" t="s">
        <v>28</v>
      </c>
      <c r="J685" s="1">
        <v>44576</v>
      </c>
      <c r="K685" t="s">
        <v>34</v>
      </c>
    </row>
    <row r="686" spans="1:11" x14ac:dyDescent="0.3">
      <c r="A686" t="s">
        <v>1401</v>
      </c>
      <c r="B686" t="s">
        <v>1402</v>
      </c>
      <c r="C686" t="s">
        <v>22</v>
      </c>
      <c r="D686">
        <v>53</v>
      </c>
      <c r="E686" s="20" t="str">
        <f t="shared" si="10"/>
        <v>46-60</v>
      </c>
      <c r="F686" t="s">
        <v>13</v>
      </c>
      <c r="G686">
        <v>4</v>
      </c>
      <c r="H686">
        <v>1200.32</v>
      </c>
      <c r="I686" t="s">
        <v>23</v>
      </c>
      <c r="J686" s="1">
        <v>44642</v>
      </c>
      <c r="K686" t="s">
        <v>24</v>
      </c>
    </row>
    <row r="687" spans="1:11" x14ac:dyDescent="0.3">
      <c r="A687" t="s">
        <v>1403</v>
      </c>
      <c r="B687" t="s">
        <v>1404</v>
      </c>
      <c r="C687" t="s">
        <v>12</v>
      </c>
      <c r="D687">
        <v>48</v>
      </c>
      <c r="E687" s="20" t="str">
        <f t="shared" si="10"/>
        <v>46-60</v>
      </c>
      <c r="F687" t="s">
        <v>18</v>
      </c>
      <c r="G687">
        <v>3</v>
      </c>
      <c r="H687">
        <v>121.98</v>
      </c>
      <c r="I687" t="s">
        <v>23</v>
      </c>
      <c r="J687" s="1">
        <v>44857</v>
      </c>
      <c r="K687" t="s">
        <v>43</v>
      </c>
    </row>
    <row r="688" spans="1:11" x14ac:dyDescent="0.3">
      <c r="A688" t="s">
        <v>1405</v>
      </c>
      <c r="B688" t="s">
        <v>1406</v>
      </c>
      <c r="C688" t="s">
        <v>22</v>
      </c>
      <c r="D688">
        <v>64</v>
      </c>
      <c r="E688" s="20" t="str">
        <f t="shared" si="10"/>
        <v>60+</v>
      </c>
      <c r="F688" t="s">
        <v>59</v>
      </c>
      <c r="G688">
        <v>2</v>
      </c>
      <c r="H688">
        <v>71.680000000000007</v>
      </c>
      <c r="I688" t="s">
        <v>14</v>
      </c>
      <c r="J688" s="1">
        <v>44894</v>
      </c>
      <c r="K688" t="s">
        <v>43</v>
      </c>
    </row>
    <row r="689" spans="1:11" x14ac:dyDescent="0.3">
      <c r="A689" t="s">
        <v>1407</v>
      </c>
      <c r="B689" t="s">
        <v>1408</v>
      </c>
      <c r="C689" t="s">
        <v>12</v>
      </c>
      <c r="D689">
        <v>42</v>
      </c>
      <c r="E689" s="20" t="str">
        <f t="shared" si="10"/>
        <v>36-45</v>
      </c>
      <c r="F689" t="s">
        <v>48</v>
      </c>
      <c r="G689">
        <v>1</v>
      </c>
      <c r="H689">
        <v>600.16999999999996</v>
      </c>
      <c r="I689" t="s">
        <v>23</v>
      </c>
      <c r="J689" s="1">
        <v>44832</v>
      </c>
      <c r="K689" t="s">
        <v>24</v>
      </c>
    </row>
    <row r="690" spans="1:11" x14ac:dyDescent="0.3">
      <c r="A690" t="s">
        <v>1409</v>
      </c>
      <c r="B690" t="s">
        <v>1410</v>
      </c>
      <c r="C690" t="s">
        <v>22</v>
      </c>
      <c r="D690">
        <v>21</v>
      </c>
      <c r="E690" s="20" t="str">
        <f t="shared" si="10"/>
        <v>18-25</v>
      </c>
      <c r="F690" t="s">
        <v>37</v>
      </c>
      <c r="G690">
        <v>2</v>
      </c>
      <c r="H690">
        <v>10.46</v>
      </c>
      <c r="I690" t="s">
        <v>14</v>
      </c>
      <c r="J690" s="1">
        <v>44714</v>
      </c>
      <c r="K690" t="s">
        <v>40</v>
      </c>
    </row>
    <row r="691" spans="1:11" x14ac:dyDescent="0.3">
      <c r="A691" t="s">
        <v>1411</v>
      </c>
      <c r="B691" t="s">
        <v>1412</v>
      </c>
      <c r="C691" t="s">
        <v>22</v>
      </c>
      <c r="D691">
        <v>64</v>
      </c>
      <c r="E691" s="20" t="str">
        <f t="shared" si="10"/>
        <v>60+</v>
      </c>
      <c r="F691" t="s">
        <v>37</v>
      </c>
      <c r="G691">
        <v>3</v>
      </c>
      <c r="H691">
        <v>15.69</v>
      </c>
      <c r="I691" t="s">
        <v>28</v>
      </c>
      <c r="J691" s="1">
        <v>44969</v>
      </c>
      <c r="K691" t="s">
        <v>60</v>
      </c>
    </row>
    <row r="692" spans="1:11" x14ac:dyDescent="0.3">
      <c r="A692" t="s">
        <v>1413</v>
      </c>
      <c r="B692" t="s">
        <v>1414</v>
      </c>
      <c r="C692" t="s">
        <v>12</v>
      </c>
      <c r="D692">
        <v>55</v>
      </c>
      <c r="E692" s="20" t="str">
        <f t="shared" si="10"/>
        <v>46-60</v>
      </c>
      <c r="F692" t="s">
        <v>27</v>
      </c>
      <c r="G692">
        <v>1</v>
      </c>
      <c r="H692">
        <v>15.15</v>
      </c>
      <c r="I692" t="s">
        <v>14</v>
      </c>
      <c r="J692" s="1">
        <v>44779</v>
      </c>
      <c r="K692" t="s">
        <v>43</v>
      </c>
    </row>
    <row r="693" spans="1:11" x14ac:dyDescent="0.3">
      <c r="A693" t="s">
        <v>1415</v>
      </c>
      <c r="B693" t="s">
        <v>1416</v>
      </c>
      <c r="C693" t="s">
        <v>22</v>
      </c>
      <c r="D693">
        <v>52</v>
      </c>
      <c r="E693" s="20" t="str">
        <f t="shared" si="10"/>
        <v>46-60</v>
      </c>
      <c r="F693" t="s">
        <v>59</v>
      </c>
      <c r="G693">
        <v>4</v>
      </c>
      <c r="H693">
        <v>143.36000000000001</v>
      </c>
      <c r="I693" t="s">
        <v>28</v>
      </c>
      <c r="J693" s="1">
        <v>44357</v>
      </c>
      <c r="K693" t="s">
        <v>73</v>
      </c>
    </row>
    <row r="694" spans="1:11" x14ac:dyDescent="0.3">
      <c r="A694" t="s">
        <v>1417</v>
      </c>
      <c r="B694" t="s">
        <v>1418</v>
      </c>
      <c r="C694" t="s">
        <v>22</v>
      </c>
      <c r="D694">
        <v>53</v>
      </c>
      <c r="E694" s="20" t="str">
        <f t="shared" si="10"/>
        <v>46-60</v>
      </c>
      <c r="F694" t="s">
        <v>37</v>
      </c>
      <c r="G694">
        <v>4</v>
      </c>
      <c r="H694">
        <v>20.92</v>
      </c>
      <c r="I694" t="s">
        <v>23</v>
      </c>
      <c r="J694" s="1">
        <v>44576</v>
      </c>
      <c r="K694" t="s">
        <v>73</v>
      </c>
    </row>
    <row r="695" spans="1:11" x14ac:dyDescent="0.3">
      <c r="A695" t="s">
        <v>1419</v>
      </c>
      <c r="B695" t="s">
        <v>1420</v>
      </c>
      <c r="C695" t="s">
        <v>22</v>
      </c>
      <c r="D695">
        <v>38</v>
      </c>
      <c r="E695" s="20" t="str">
        <f t="shared" si="10"/>
        <v>36-45</v>
      </c>
      <c r="F695" t="s">
        <v>13</v>
      </c>
      <c r="G695">
        <v>3</v>
      </c>
      <c r="H695">
        <v>900.24</v>
      </c>
      <c r="I695" t="s">
        <v>23</v>
      </c>
      <c r="J695" s="1">
        <v>44277</v>
      </c>
      <c r="K695" t="s">
        <v>15</v>
      </c>
    </row>
    <row r="696" spans="1:11" x14ac:dyDescent="0.3">
      <c r="A696" t="s">
        <v>1421</v>
      </c>
      <c r="B696" t="s">
        <v>1422</v>
      </c>
      <c r="C696" t="s">
        <v>22</v>
      </c>
      <c r="D696">
        <v>65</v>
      </c>
      <c r="E696" s="20" t="str">
        <f t="shared" si="10"/>
        <v>60+</v>
      </c>
      <c r="F696" t="s">
        <v>13</v>
      </c>
      <c r="G696">
        <v>2</v>
      </c>
      <c r="H696">
        <v>600.16</v>
      </c>
      <c r="I696" t="s">
        <v>14</v>
      </c>
      <c r="J696" s="1">
        <v>44441</v>
      </c>
      <c r="K696" t="s">
        <v>34</v>
      </c>
    </row>
    <row r="697" spans="1:11" x14ac:dyDescent="0.3">
      <c r="A697" t="s">
        <v>1423</v>
      </c>
      <c r="B697" t="s">
        <v>1424</v>
      </c>
      <c r="C697" t="s">
        <v>22</v>
      </c>
      <c r="D697">
        <v>54</v>
      </c>
      <c r="E697" s="20" t="str">
        <f t="shared" si="10"/>
        <v>46-60</v>
      </c>
      <c r="F697" t="s">
        <v>59</v>
      </c>
      <c r="G697">
        <v>2</v>
      </c>
      <c r="H697">
        <v>71.680000000000007</v>
      </c>
      <c r="I697" t="s">
        <v>23</v>
      </c>
      <c r="J697" s="1">
        <v>44517</v>
      </c>
      <c r="K697" t="s">
        <v>84</v>
      </c>
    </row>
    <row r="698" spans="1:11" x14ac:dyDescent="0.3">
      <c r="A698" t="s">
        <v>1425</v>
      </c>
      <c r="B698" t="s">
        <v>1426</v>
      </c>
      <c r="C698" t="s">
        <v>12</v>
      </c>
      <c r="D698">
        <v>36</v>
      </c>
      <c r="E698" s="20" t="str">
        <f t="shared" si="10"/>
        <v>36-45</v>
      </c>
      <c r="F698" t="s">
        <v>56</v>
      </c>
      <c r="G698">
        <v>4</v>
      </c>
      <c r="H698">
        <v>46.92</v>
      </c>
      <c r="I698" t="s">
        <v>28</v>
      </c>
      <c r="J698" s="1">
        <v>44201</v>
      </c>
      <c r="K698" t="s">
        <v>60</v>
      </c>
    </row>
    <row r="699" spans="1:11" x14ac:dyDescent="0.3">
      <c r="A699" t="s">
        <v>1427</v>
      </c>
      <c r="B699" t="s">
        <v>1428</v>
      </c>
      <c r="C699" t="s">
        <v>22</v>
      </c>
      <c r="D699">
        <v>22</v>
      </c>
      <c r="E699" s="20" t="str">
        <f t="shared" si="10"/>
        <v>18-25</v>
      </c>
      <c r="F699" t="s">
        <v>56</v>
      </c>
      <c r="G699">
        <v>5</v>
      </c>
      <c r="H699">
        <v>58.65</v>
      </c>
      <c r="I699" t="s">
        <v>14</v>
      </c>
      <c r="J699" s="1">
        <v>44672</v>
      </c>
      <c r="K699" t="s">
        <v>84</v>
      </c>
    </row>
    <row r="700" spans="1:11" x14ac:dyDescent="0.3">
      <c r="A700" t="s">
        <v>1429</v>
      </c>
      <c r="B700" t="s">
        <v>1430</v>
      </c>
      <c r="C700" t="s">
        <v>22</v>
      </c>
      <c r="D700">
        <v>24</v>
      </c>
      <c r="E700" s="20" t="str">
        <f t="shared" si="10"/>
        <v>18-25</v>
      </c>
      <c r="F700" t="s">
        <v>18</v>
      </c>
      <c r="G700">
        <v>3</v>
      </c>
      <c r="H700">
        <v>121.98</v>
      </c>
      <c r="I700" t="s">
        <v>28</v>
      </c>
      <c r="J700" s="1">
        <v>44968</v>
      </c>
      <c r="K700" t="s">
        <v>34</v>
      </c>
    </row>
    <row r="701" spans="1:11" x14ac:dyDescent="0.3">
      <c r="A701" t="s">
        <v>1431</v>
      </c>
      <c r="B701" t="s">
        <v>1432</v>
      </c>
      <c r="C701" t="s">
        <v>12</v>
      </c>
      <c r="D701">
        <v>59</v>
      </c>
      <c r="E701" s="20" t="str">
        <f t="shared" si="10"/>
        <v>46-60</v>
      </c>
      <c r="F701" t="s">
        <v>59</v>
      </c>
      <c r="G701">
        <v>1</v>
      </c>
      <c r="H701">
        <v>35.840000000000003</v>
      </c>
      <c r="I701" t="s">
        <v>14</v>
      </c>
      <c r="J701" s="1">
        <v>44818</v>
      </c>
      <c r="K701" t="s">
        <v>24</v>
      </c>
    </row>
    <row r="702" spans="1:11" x14ac:dyDescent="0.3">
      <c r="A702" t="s">
        <v>1433</v>
      </c>
      <c r="B702" t="s">
        <v>1434</v>
      </c>
      <c r="C702" t="s">
        <v>12</v>
      </c>
      <c r="D702">
        <v>31</v>
      </c>
      <c r="E702" s="20" t="str">
        <f t="shared" si="10"/>
        <v>26-35</v>
      </c>
      <c r="F702" t="s">
        <v>48</v>
      </c>
      <c r="G702">
        <v>4</v>
      </c>
      <c r="H702">
        <v>2400.6799999999998</v>
      </c>
      <c r="I702" t="s">
        <v>14</v>
      </c>
      <c r="J702" s="1">
        <v>44851</v>
      </c>
      <c r="K702" t="s">
        <v>43</v>
      </c>
    </row>
    <row r="703" spans="1:11" x14ac:dyDescent="0.3">
      <c r="A703" t="s">
        <v>1435</v>
      </c>
      <c r="B703" t="s">
        <v>1436</v>
      </c>
      <c r="C703" t="s">
        <v>22</v>
      </c>
      <c r="D703">
        <v>38</v>
      </c>
      <c r="E703" s="20" t="str">
        <f t="shared" si="10"/>
        <v>36-45</v>
      </c>
      <c r="F703" t="s">
        <v>18</v>
      </c>
      <c r="G703">
        <v>4</v>
      </c>
      <c r="H703">
        <v>162.63999999999999</v>
      </c>
      <c r="I703" t="s">
        <v>28</v>
      </c>
      <c r="J703" s="1">
        <v>44569</v>
      </c>
      <c r="K703" t="s">
        <v>60</v>
      </c>
    </row>
    <row r="704" spans="1:11" x14ac:dyDescent="0.3">
      <c r="A704" t="s">
        <v>1437</v>
      </c>
      <c r="B704" t="s">
        <v>1438</v>
      </c>
      <c r="C704" t="s">
        <v>22</v>
      </c>
      <c r="D704">
        <v>63</v>
      </c>
      <c r="E704" s="20" t="str">
        <f t="shared" si="10"/>
        <v>60+</v>
      </c>
      <c r="F704" t="s">
        <v>59</v>
      </c>
      <c r="G704">
        <v>4</v>
      </c>
      <c r="H704">
        <v>143.36000000000001</v>
      </c>
      <c r="I704" t="s">
        <v>23</v>
      </c>
      <c r="J704" s="1">
        <v>44496</v>
      </c>
      <c r="K704" t="s">
        <v>24</v>
      </c>
    </row>
    <row r="705" spans="1:11" x14ac:dyDescent="0.3">
      <c r="A705" t="s">
        <v>1439</v>
      </c>
      <c r="B705" t="s">
        <v>1440</v>
      </c>
      <c r="C705" t="s">
        <v>22</v>
      </c>
      <c r="D705">
        <v>28</v>
      </c>
      <c r="E705" s="20" t="str">
        <f t="shared" si="10"/>
        <v>26-35</v>
      </c>
      <c r="F705" t="s">
        <v>13</v>
      </c>
      <c r="G705">
        <v>1</v>
      </c>
      <c r="H705">
        <v>300.08</v>
      </c>
      <c r="I705" t="s">
        <v>28</v>
      </c>
      <c r="J705" s="1">
        <v>44248</v>
      </c>
      <c r="K705" t="s">
        <v>43</v>
      </c>
    </row>
    <row r="706" spans="1:11" x14ac:dyDescent="0.3">
      <c r="A706" t="s">
        <v>1441</v>
      </c>
      <c r="B706" t="s">
        <v>1442</v>
      </c>
      <c r="C706" t="s">
        <v>12</v>
      </c>
      <c r="D706">
        <v>46</v>
      </c>
      <c r="E706" s="20" t="str">
        <f t="shared" si="10"/>
        <v>46-60</v>
      </c>
      <c r="F706" t="s">
        <v>37</v>
      </c>
      <c r="G706">
        <v>1</v>
      </c>
      <c r="H706">
        <v>5.23</v>
      </c>
      <c r="I706" t="s">
        <v>28</v>
      </c>
      <c r="J706" s="1">
        <v>44531</v>
      </c>
      <c r="K706" t="s">
        <v>43</v>
      </c>
    </row>
    <row r="707" spans="1:11" x14ac:dyDescent="0.3">
      <c r="A707" t="s">
        <v>1443</v>
      </c>
      <c r="B707" t="s">
        <v>1444</v>
      </c>
      <c r="C707" t="s">
        <v>22</v>
      </c>
      <c r="D707">
        <v>19</v>
      </c>
      <c r="E707" s="20" t="str">
        <f t="shared" ref="E707:E770" si="11">IF(D707&lt;18,"Below 18",IF(D707&lt;=25,"18-25",IF(D707&lt;=35,"26-35",IF(D707&lt;=45,"36-45",IF(D707&lt;=60,"46-60","60+")))))</f>
        <v>18-25</v>
      </c>
      <c r="F707" t="s">
        <v>13</v>
      </c>
      <c r="G707">
        <v>2</v>
      </c>
      <c r="H707">
        <v>600.16</v>
      </c>
      <c r="I707" t="s">
        <v>28</v>
      </c>
      <c r="J707" s="1">
        <v>44221</v>
      </c>
      <c r="K707" t="s">
        <v>60</v>
      </c>
    </row>
    <row r="708" spans="1:11" x14ac:dyDescent="0.3">
      <c r="A708" t="s">
        <v>1445</v>
      </c>
      <c r="B708" t="s">
        <v>1446</v>
      </c>
      <c r="C708" t="s">
        <v>22</v>
      </c>
      <c r="D708">
        <v>21</v>
      </c>
      <c r="E708" s="20" t="str">
        <f t="shared" si="11"/>
        <v>18-25</v>
      </c>
      <c r="F708" t="s">
        <v>27</v>
      </c>
      <c r="G708">
        <v>1</v>
      </c>
      <c r="H708">
        <v>15.15</v>
      </c>
      <c r="I708" t="s">
        <v>23</v>
      </c>
      <c r="J708" s="1">
        <v>44930</v>
      </c>
      <c r="K708" t="s">
        <v>24</v>
      </c>
    </row>
    <row r="709" spans="1:11" x14ac:dyDescent="0.3">
      <c r="A709" t="s">
        <v>1447</v>
      </c>
      <c r="B709" t="s">
        <v>1448</v>
      </c>
      <c r="C709" t="s">
        <v>22</v>
      </c>
      <c r="D709">
        <v>60</v>
      </c>
      <c r="E709" s="20" t="str">
        <f t="shared" si="11"/>
        <v>46-60</v>
      </c>
      <c r="F709" t="s">
        <v>31</v>
      </c>
      <c r="G709">
        <v>4</v>
      </c>
      <c r="H709">
        <v>4200</v>
      </c>
      <c r="I709" t="s">
        <v>28</v>
      </c>
      <c r="J709" s="1">
        <v>44745</v>
      </c>
      <c r="K709" t="s">
        <v>60</v>
      </c>
    </row>
    <row r="710" spans="1:11" x14ac:dyDescent="0.3">
      <c r="A710" t="s">
        <v>1449</v>
      </c>
      <c r="B710" t="s">
        <v>1450</v>
      </c>
      <c r="C710" t="s">
        <v>12</v>
      </c>
      <c r="D710">
        <v>23</v>
      </c>
      <c r="E710" s="20" t="str">
        <f t="shared" si="11"/>
        <v>18-25</v>
      </c>
      <c r="F710" t="s">
        <v>37</v>
      </c>
      <c r="G710">
        <v>2</v>
      </c>
      <c r="H710">
        <v>10.46</v>
      </c>
      <c r="I710" t="s">
        <v>28</v>
      </c>
      <c r="J710" s="1">
        <v>44752</v>
      </c>
      <c r="K710" t="s">
        <v>43</v>
      </c>
    </row>
    <row r="711" spans="1:11" x14ac:dyDescent="0.3">
      <c r="A711" t="s">
        <v>1451</v>
      </c>
      <c r="B711" t="s">
        <v>1452</v>
      </c>
      <c r="C711" t="s">
        <v>22</v>
      </c>
      <c r="D711">
        <v>57</v>
      </c>
      <c r="E711" s="20" t="str">
        <f t="shared" si="11"/>
        <v>46-60</v>
      </c>
      <c r="F711" t="s">
        <v>18</v>
      </c>
      <c r="G711">
        <v>1</v>
      </c>
      <c r="H711">
        <v>40.659999999999997</v>
      </c>
      <c r="I711" t="s">
        <v>28</v>
      </c>
      <c r="J711" s="1">
        <v>44796</v>
      </c>
      <c r="K711" t="s">
        <v>34</v>
      </c>
    </row>
    <row r="712" spans="1:11" x14ac:dyDescent="0.3">
      <c r="A712" t="s">
        <v>1453</v>
      </c>
      <c r="B712" t="s">
        <v>1454</v>
      </c>
      <c r="C712" t="s">
        <v>22</v>
      </c>
      <c r="D712">
        <v>29</v>
      </c>
      <c r="E712" s="20" t="str">
        <f t="shared" si="11"/>
        <v>26-35</v>
      </c>
      <c r="F712" t="s">
        <v>13</v>
      </c>
      <c r="G712">
        <v>4</v>
      </c>
      <c r="H712">
        <v>1200.32</v>
      </c>
      <c r="I712" t="s">
        <v>14</v>
      </c>
      <c r="J712" s="1">
        <v>44872</v>
      </c>
      <c r="K712" t="s">
        <v>43</v>
      </c>
    </row>
    <row r="713" spans="1:11" x14ac:dyDescent="0.3">
      <c r="A713" t="s">
        <v>1455</v>
      </c>
      <c r="B713" t="s">
        <v>1456</v>
      </c>
      <c r="C713" t="s">
        <v>22</v>
      </c>
      <c r="D713">
        <v>65</v>
      </c>
      <c r="E713" s="20" t="str">
        <f t="shared" si="11"/>
        <v>60+</v>
      </c>
      <c r="F713" t="s">
        <v>13</v>
      </c>
      <c r="G713">
        <v>5</v>
      </c>
      <c r="H713">
        <v>1500.4</v>
      </c>
      <c r="I713" t="s">
        <v>23</v>
      </c>
      <c r="J713" s="1">
        <v>44466</v>
      </c>
      <c r="K713" t="s">
        <v>43</v>
      </c>
    </row>
    <row r="714" spans="1:11" x14ac:dyDescent="0.3">
      <c r="A714" t="s">
        <v>1457</v>
      </c>
      <c r="B714" t="s">
        <v>1458</v>
      </c>
      <c r="C714" t="s">
        <v>22</v>
      </c>
      <c r="D714">
        <v>29</v>
      </c>
      <c r="E714" s="20" t="str">
        <f t="shared" si="11"/>
        <v>26-35</v>
      </c>
      <c r="F714" t="s">
        <v>13</v>
      </c>
      <c r="G714">
        <v>3</v>
      </c>
      <c r="H714">
        <v>900.24</v>
      </c>
      <c r="I714" t="s">
        <v>14</v>
      </c>
      <c r="J714" s="1">
        <v>44592</v>
      </c>
      <c r="K714" t="s">
        <v>24</v>
      </c>
    </row>
    <row r="715" spans="1:11" x14ac:dyDescent="0.3">
      <c r="A715" t="s">
        <v>1459</v>
      </c>
      <c r="B715" t="s">
        <v>1460</v>
      </c>
      <c r="C715" t="s">
        <v>12</v>
      </c>
      <c r="D715">
        <v>24</v>
      </c>
      <c r="E715" s="20" t="str">
        <f t="shared" si="11"/>
        <v>18-25</v>
      </c>
      <c r="F715" t="s">
        <v>18</v>
      </c>
      <c r="G715">
        <v>3</v>
      </c>
      <c r="H715">
        <v>121.98</v>
      </c>
      <c r="I715" t="s">
        <v>28</v>
      </c>
      <c r="J715" s="1">
        <v>44589</v>
      </c>
      <c r="K715" t="s">
        <v>15</v>
      </c>
    </row>
    <row r="716" spans="1:11" x14ac:dyDescent="0.3">
      <c r="A716" t="s">
        <v>1461</v>
      </c>
      <c r="B716" t="s">
        <v>1462</v>
      </c>
      <c r="C716" t="s">
        <v>22</v>
      </c>
      <c r="D716">
        <v>43</v>
      </c>
      <c r="E716" s="20" t="str">
        <f t="shared" si="11"/>
        <v>36-45</v>
      </c>
      <c r="F716" t="s">
        <v>37</v>
      </c>
      <c r="G716">
        <v>4</v>
      </c>
      <c r="H716">
        <v>20.92</v>
      </c>
      <c r="I716" t="s">
        <v>28</v>
      </c>
      <c r="J716" s="1">
        <v>44573</v>
      </c>
      <c r="K716" t="s">
        <v>34</v>
      </c>
    </row>
    <row r="717" spans="1:11" x14ac:dyDescent="0.3">
      <c r="A717" t="s">
        <v>1463</v>
      </c>
      <c r="B717" t="s">
        <v>1464</v>
      </c>
      <c r="C717" t="s">
        <v>12</v>
      </c>
      <c r="D717">
        <v>58</v>
      </c>
      <c r="E717" s="20" t="str">
        <f t="shared" si="11"/>
        <v>46-60</v>
      </c>
      <c r="F717" t="s">
        <v>37</v>
      </c>
      <c r="G717">
        <v>4</v>
      </c>
      <c r="H717">
        <v>20.92</v>
      </c>
      <c r="I717" t="s">
        <v>28</v>
      </c>
      <c r="J717" s="1">
        <v>44287</v>
      </c>
      <c r="K717" t="s">
        <v>43</v>
      </c>
    </row>
    <row r="718" spans="1:11" x14ac:dyDescent="0.3">
      <c r="A718" t="s">
        <v>1465</v>
      </c>
      <c r="B718" t="s">
        <v>1466</v>
      </c>
      <c r="C718" t="s">
        <v>22</v>
      </c>
      <c r="D718">
        <v>40</v>
      </c>
      <c r="E718" s="20" t="str">
        <f t="shared" si="11"/>
        <v>36-45</v>
      </c>
      <c r="F718" t="s">
        <v>59</v>
      </c>
      <c r="G718">
        <v>2</v>
      </c>
      <c r="H718">
        <v>71.680000000000007</v>
      </c>
      <c r="I718" t="s">
        <v>28</v>
      </c>
      <c r="J718" s="1">
        <v>44898</v>
      </c>
      <c r="K718" t="s">
        <v>24</v>
      </c>
    </row>
    <row r="719" spans="1:11" x14ac:dyDescent="0.3">
      <c r="A719" t="s">
        <v>1467</v>
      </c>
      <c r="B719" t="s">
        <v>1468</v>
      </c>
      <c r="C719" t="s">
        <v>22</v>
      </c>
      <c r="D719">
        <v>47</v>
      </c>
      <c r="E719" s="20" t="str">
        <f t="shared" si="11"/>
        <v>46-60</v>
      </c>
      <c r="F719" t="s">
        <v>48</v>
      </c>
      <c r="G719">
        <v>5</v>
      </c>
      <c r="H719">
        <v>3000.85</v>
      </c>
      <c r="I719" t="s">
        <v>28</v>
      </c>
      <c r="J719" s="1">
        <v>44311</v>
      </c>
      <c r="K719" t="s">
        <v>53</v>
      </c>
    </row>
    <row r="720" spans="1:11" x14ac:dyDescent="0.3">
      <c r="A720" t="s">
        <v>1469</v>
      </c>
      <c r="B720" t="s">
        <v>1470</v>
      </c>
      <c r="C720" t="s">
        <v>12</v>
      </c>
      <c r="D720">
        <v>48</v>
      </c>
      <c r="E720" s="20" t="str">
        <f t="shared" si="11"/>
        <v>46-60</v>
      </c>
      <c r="F720" t="s">
        <v>13</v>
      </c>
      <c r="G720">
        <v>2</v>
      </c>
      <c r="H720">
        <v>600.16</v>
      </c>
      <c r="I720" t="s">
        <v>14</v>
      </c>
      <c r="J720" s="1">
        <v>44465</v>
      </c>
      <c r="K720" t="s">
        <v>60</v>
      </c>
    </row>
    <row r="721" spans="1:11" x14ac:dyDescent="0.3">
      <c r="A721" t="s">
        <v>1471</v>
      </c>
      <c r="B721" t="s">
        <v>1472</v>
      </c>
      <c r="C721" t="s">
        <v>22</v>
      </c>
      <c r="D721">
        <v>64</v>
      </c>
      <c r="E721" s="20" t="str">
        <f t="shared" si="11"/>
        <v>60+</v>
      </c>
      <c r="F721" t="s">
        <v>18</v>
      </c>
      <c r="G721">
        <v>2</v>
      </c>
      <c r="H721">
        <v>81.319999999999993</v>
      </c>
      <c r="I721" t="s">
        <v>28</v>
      </c>
      <c r="J721" s="1">
        <v>44771</v>
      </c>
      <c r="K721" t="s">
        <v>24</v>
      </c>
    </row>
    <row r="722" spans="1:11" x14ac:dyDescent="0.3">
      <c r="A722" t="s">
        <v>1473</v>
      </c>
      <c r="B722" t="s">
        <v>1474</v>
      </c>
      <c r="C722" t="s">
        <v>12</v>
      </c>
      <c r="D722">
        <v>29</v>
      </c>
      <c r="E722" s="20" t="str">
        <f t="shared" si="11"/>
        <v>26-35</v>
      </c>
      <c r="F722" t="s">
        <v>13</v>
      </c>
      <c r="G722">
        <v>4</v>
      </c>
      <c r="H722">
        <v>1200.32</v>
      </c>
      <c r="I722" t="s">
        <v>28</v>
      </c>
      <c r="J722" s="1">
        <v>44369</v>
      </c>
      <c r="K722" t="s">
        <v>43</v>
      </c>
    </row>
    <row r="723" spans="1:11" x14ac:dyDescent="0.3">
      <c r="A723" t="s">
        <v>1475</v>
      </c>
      <c r="B723" t="s">
        <v>1476</v>
      </c>
      <c r="C723" t="s">
        <v>12</v>
      </c>
      <c r="D723">
        <v>40</v>
      </c>
      <c r="E723" s="20" t="str">
        <f t="shared" si="11"/>
        <v>36-45</v>
      </c>
      <c r="F723" t="s">
        <v>18</v>
      </c>
      <c r="G723">
        <v>3</v>
      </c>
      <c r="H723">
        <v>121.98</v>
      </c>
      <c r="I723" t="s">
        <v>23</v>
      </c>
      <c r="J723" s="1">
        <v>44455</v>
      </c>
      <c r="K723" t="s">
        <v>60</v>
      </c>
    </row>
    <row r="724" spans="1:11" x14ac:dyDescent="0.3">
      <c r="A724" t="s">
        <v>1477</v>
      </c>
      <c r="B724" t="s">
        <v>1478</v>
      </c>
      <c r="C724" t="s">
        <v>12</v>
      </c>
      <c r="D724">
        <v>18</v>
      </c>
      <c r="E724" s="20" t="str">
        <f t="shared" si="11"/>
        <v>18-25</v>
      </c>
      <c r="F724" t="s">
        <v>13</v>
      </c>
      <c r="G724">
        <v>5</v>
      </c>
      <c r="H724">
        <v>1500.4</v>
      </c>
      <c r="I724" t="s">
        <v>28</v>
      </c>
      <c r="J724" s="1">
        <v>44781</v>
      </c>
      <c r="K724" t="s">
        <v>19</v>
      </c>
    </row>
    <row r="725" spans="1:11" x14ac:dyDescent="0.3">
      <c r="A725" t="s">
        <v>1479</v>
      </c>
      <c r="B725" t="s">
        <v>1480</v>
      </c>
      <c r="C725" t="s">
        <v>22</v>
      </c>
      <c r="D725">
        <v>59</v>
      </c>
      <c r="E725" s="20" t="str">
        <f t="shared" si="11"/>
        <v>46-60</v>
      </c>
      <c r="F725" t="s">
        <v>31</v>
      </c>
      <c r="G725">
        <v>1</v>
      </c>
      <c r="H725">
        <v>1050</v>
      </c>
      <c r="I725" t="s">
        <v>14</v>
      </c>
      <c r="J725" s="1">
        <v>44279</v>
      </c>
      <c r="K725" t="s">
        <v>24</v>
      </c>
    </row>
    <row r="726" spans="1:11" x14ac:dyDescent="0.3">
      <c r="A726" t="s">
        <v>1481</v>
      </c>
      <c r="B726" t="s">
        <v>1482</v>
      </c>
      <c r="C726" t="s">
        <v>12</v>
      </c>
      <c r="D726">
        <v>65</v>
      </c>
      <c r="E726" s="20" t="str">
        <f t="shared" si="11"/>
        <v>60+</v>
      </c>
      <c r="F726" t="s">
        <v>48</v>
      </c>
      <c r="G726">
        <v>1</v>
      </c>
      <c r="H726">
        <v>600.16999999999996</v>
      </c>
      <c r="I726" t="s">
        <v>28</v>
      </c>
      <c r="J726" s="1">
        <v>44597</v>
      </c>
      <c r="K726" t="s">
        <v>43</v>
      </c>
    </row>
    <row r="727" spans="1:11" x14ac:dyDescent="0.3">
      <c r="A727" t="s">
        <v>1483</v>
      </c>
      <c r="B727" t="s">
        <v>1484</v>
      </c>
      <c r="C727" t="s">
        <v>12</v>
      </c>
      <c r="D727">
        <v>44</v>
      </c>
      <c r="E727" s="20" t="str">
        <f t="shared" si="11"/>
        <v>36-45</v>
      </c>
      <c r="F727" t="s">
        <v>27</v>
      </c>
      <c r="G727">
        <v>3</v>
      </c>
      <c r="H727">
        <v>45.45</v>
      </c>
      <c r="I727" t="s">
        <v>14</v>
      </c>
      <c r="J727" s="1">
        <v>44538</v>
      </c>
      <c r="K727" t="s">
        <v>40</v>
      </c>
    </row>
    <row r="728" spans="1:11" x14ac:dyDescent="0.3">
      <c r="A728" t="s">
        <v>1485</v>
      </c>
      <c r="B728" t="s">
        <v>1486</v>
      </c>
      <c r="C728" t="s">
        <v>22</v>
      </c>
      <c r="D728">
        <v>49</v>
      </c>
      <c r="E728" s="20" t="str">
        <f t="shared" si="11"/>
        <v>46-60</v>
      </c>
      <c r="F728" t="s">
        <v>13</v>
      </c>
      <c r="G728">
        <v>1</v>
      </c>
      <c r="H728">
        <v>300.08</v>
      </c>
      <c r="I728" t="s">
        <v>28</v>
      </c>
      <c r="J728" s="1">
        <v>44408</v>
      </c>
      <c r="K728" t="s">
        <v>73</v>
      </c>
    </row>
    <row r="729" spans="1:11" x14ac:dyDescent="0.3">
      <c r="A729" t="s">
        <v>1487</v>
      </c>
      <c r="B729" t="s">
        <v>1488</v>
      </c>
      <c r="C729" t="s">
        <v>12</v>
      </c>
      <c r="D729">
        <v>36</v>
      </c>
      <c r="E729" s="20" t="str">
        <f t="shared" si="11"/>
        <v>36-45</v>
      </c>
      <c r="F729" t="s">
        <v>27</v>
      </c>
      <c r="G729">
        <v>2</v>
      </c>
      <c r="H729">
        <v>30.3</v>
      </c>
      <c r="I729" t="s">
        <v>14</v>
      </c>
      <c r="J729" s="1">
        <v>44511</v>
      </c>
      <c r="K729" t="s">
        <v>60</v>
      </c>
    </row>
    <row r="730" spans="1:11" x14ac:dyDescent="0.3">
      <c r="A730" t="s">
        <v>1489</v>
      </c>
      <c r="B730" t="s">
        <v>1490</v>
      </c>
      <c r="C730" t="s">
        <v>22</v>
      </c>
      <c r="D730">
        <v>23</v>
      </c>
      <c r="E730" s="20" t="str">
        <f t="shared" si="11"/>
        <v>18-25</v>
      </c>
      <c r="F730" t="s">
        <v>18</v>
      </c>
      <c r="G730">
        <v>4</v>
      </c>
      <c r="H730">
        <v>162.63999999999999</v>
      </c>
      <c r="I730" t="s">
        <v>14</v>
      </c>
      <c r="J730" s="1">
        <v>44730</v>
      </c>
      <c r="K730" t="s">
        <v>84</v>
      </c>
    </row>
    <row r="731" spans="1:11" x14ac:dyDescent="0.3">
      <c r="A731" t="s">
        <v>1491</v>
      </c>
      <c r="B731" t="s">
        <v>1492</v>
      </c>
      <c r="C731" t="s">
        <v>22</v>
      </c>
      <c r="D731">
        <v>56</v>
      </c>
      <c r="E731" s="20" t="str">
        <f t="shared" si="11"/>
        <v>46-60</v>
      </c>
      <c r="F731" t="s">
        <v>13</v>
      </c>
      <c r="G731">
        <v>2</v>
      </c>
      <c r="H731">
        <v>600.16</v>
      </c>
      <c r="I731" t="s">
        <v>28</v>
      </c>
      <c r="J731" s="1">
        <v>44218</v>
      </c>
      <c r="K731" t="s">
        <v>84</v>
      </c>
    </row>
    <row r="732" spans="1:11" x14ac:dyDescent="0.3">
      <c r="A732" t="s">
        <v>1493</v>
      </c>
      <c r="B732" t="s">
        <v>1494</v>
      </c>
      <c r="C732" t="s">
        <v>22</v>
      </c>
      <c r="D732">
        <v>47</v>
      </c>
      <c r="E732" s="20" t="str">
        <f t="shared" si="11"/>
        <v>46-60</v>
      </c>
      <c r="F732" t="s">
        <v>48</v>
      </c>
      <c r="G732">
        <v>4</v>
      </c>
      <c r="H732">
        <v>2400.6799999999998</v>
      </c>
      <c r="I732" t="s">
        <v>14</v>
      </c>
      <c r="J732" s="1">
        <v>44592</v>
      </c>
      <c r="K732" t="s">
        <v>40</v>
      </c>
    </row>
    <row r="733" spans="1:11" x14ac:dyDescent="0.3">
      <c r="A733" t="s">
        <v>1495</v>
      </c>
      <c r="B733" t="s">
        <v>1496</v>
      </c>
      <c r="C733" t="s">
        <v>22</v>
      </c>
      <c r="D733">
        <v>49</v>
      </c>
      <c r="E733" s="20" t="str">
        <f t="shared" si="11"/>
        <v>46-60</v>
      </c>
      <c r="F733" t="s">
        <v>18</v>
      </c>
      <c r="G733">
        <v>2</v>
      </c>
      <c r="H733">
        <v>81.319999999999993</v>
      </c>
      <c r="I733" t="s">
        <v>23</v>
      </c>
      <c r="J733" s="1">
        <v>44650</v>
      </c>
      <c r="K733" t="s">
        <v>84</v>
      </c>
    </row>
    <row r="734" spans="1:11" x14ac:dyDescent="0.3">
      <c r="A734" t="s">
        <v>1497</v>
      </c>
      <c r="B734" t="s">
        <v>1498</v>
      </c>
      <c r="C734" t="s">
        <v>12</v>
      </c>
      <c r="D734">
        <v>24</v>
      </c>
      <c r="E734" s="20" t="str">
        <f t="shared" si="11"/>
        <v>18-25</v>
      </c>
      <c r="F734" t="s">
        <v>13</v>
      </c>
      <c r="G734">
        <v>2</v>
      </c>
      <c r="H734">
        <v>600.16</v>
      </c>
      <c r="I734" t="s">
        <v>14</v>
      </c>
      <c r="J734" s="1">
        <v>44712</v>
      </c>
      <c r="K734" t="s">
        <v>43</v>
      </c>
    </row>
    <row r="735" spans="1:11" x14ac:dyDescent="0.3">
      <c r="A735" t="s">
        <v>1499</v>
      </c>
      <c r="B735" t="s">
        <v>1500</v>
      </c>
      <c r="C735" t="s">
        <v>12</v>
      </c>
      <c r="D735">
        <v>64</v>
      </c>
      <c r="E735" s="20" t="str">
        <f t="shared" si="11"/>
        <v>60+</v>
      </c>
      <c r="F735" t="s">
        <v>31</v>
      </c>
      <c r="G735">
        <v>3</v>
      </c>
      <c r="H735">
        <v>3150</v>
      </c>
      <c r="I735" t="s">
        <v>14</v>
      </c>
      <c r="J735" s="1">
        <v>44657</v>
      </c>
      <c r="K735" t="s">
        <v>34</v>
      </c>
    </row>
    <row r="736" spans="1:11" x14ac:dyDescent="0.3">
      <c r="A736" t="s">
        <v>1501</v>
      </c>
      <c r="B736" t="s">
        <v>1502</v>
      </c>
      <c r="C736" t="s">
        <v>12</v>
      </c>
      <c r="D736">
        <v>36</v>
      </c>
      <c r="E736" s="20" t="str">
        <f t="shared" si="11"/>
        <v>36-45</v>
      </c>
      <c r="F736" t="s">
        <v>27</v>
      </c>
      <c r="G736">
        <v>2</v>
      </c>
      <c r="H736">
        <v>30.3</v>
      </c>
      <c r="I736" t="s">
        <v>28</v>
      </c>
      <c r="J736" s="1">
        <v>44666</v>
      </c>
      <c r="K736" t="s">
        <v>34</v>
      </c>
    </row>
    <row r="737" spans="1:11" x14ac:dyDescent="0.3">
      <c r="A737" t="s">
        <v>1503</v>
      </c>
      <c r="B737" t="s">
        <v>1504</v>
      </c>
      <c r="C737" t="s">
        <v>22</v>
      </c>
      <c r="D737">
        <v>63</v>
      </c>
      <c r="E737" s="20" t="str">
        <f t="shared" si="11"/>
        <v>60+</v>
      </c>
      <c r="F737" t="s">
        <v>13</v>
      </c>
      <c r="G737">
        <v>5</v>
      </c>
      <c r="H737">
        <v>1500.4</v>
      </c>
      <c r="I737" t="s">
        <v>14</v>
      </c>
      <c r="J737" s="1">
        <v>44796</v>
      </c>
      <c r="K737" t="s">
        <v>34</v>
      </c>
    </row>
    <row r="738" spans="1:11" x14ac:dyDescent="0.3">
      <c r="A738" t="s">
        <v>1505</v>
      </c>
      <c r="B738" t="s">
        <v>1506</v>
      </c>
      <c r="C738" t="s">
        <v>22</v>
      </c>
      <c r="D738">
        <v>50</v>
      </c>
      <c r="E738" s="20" t="str">
        <f t="shared" si="11"/>
        <v>46-60</v>
      </c>
      <c r="F738" t="s">
        <v>56</v>
      </c>
      <c r="G738">
        <v>3</v>
      </c>
      <c r="H738">
        <v>35.19</v>
      </c>
      <c r="I738" t="s">
        <v>14</v>
      </c>
      <c r="J738" s="1">
        <v>44563</v>
      </c>
      <c r="K738" t="s">
        <v>15</v>
      </c>
    </row>
    <row r="739" spans="1:11" x14ac:dyDescent="0.3">
      <c r="A739" t="s">
        <v>1507</v>
      </c>
      <c r="B739" t="s">
        <v>1508</v>
      </c>
      <c r="C739" t="s">
        <v>12</v>
      </c>
      <c r="D739">
        <v>38</v>
      </c>
      <c r="E739" s="20" t="str">
        <f t="shared" si="11"/>
        <v>36-45</v>
      </c>
      <c r="F739" t="s">
        <v>13</v>
      </c>
      <c r="G739">
        <v>1</v>
      </c>
      <c r="H739">
        <v>300.08</v>
      </c>
      <c r="I739" t="s">
        <v>14</v>
      </c>
      <c r="J739" s="1">
        <v>44636</v>
      </c>
      <c r="K739" t="s">
        <v>60</v>
      </c>
    </row>
    <row r="740" spans="1:11" x14ac:dyDescent="0.3">
      <c r="A740" t="s">
        <v>1509</v>
      </c>
      <c r="B740" t="s">
        <v>1510</v>
      </c>
      <c r="C740" t="s">
        <v>12</v>
      </c>
      <c r="D740">
        <v>62</v>
      </c>
      <c r="E740" s="20" t="str">
        <f t="shared" si="11"/>
        <v>60+</v>
      </c>
      <c r="F740" t="s">
        <v>18</v>
      </c>
      <c r="G740">
        <v>4</v>
      </c>
      <c r="H740">
        <v>162.63999999999999</v>
      </c>
      <c r="I740" t="s">
        <v>14</v>
      </c>
      <c r="J740" s="1">
        <v>44805</v>
      </c>
      <c r="K740" t="s">
        <v>73</v>
      </c>
    </row>
    <row r="741" spans="1:11" x14ac:dyDescent="0.3">
      <c r="A741" t="s">
        <v>1511</v>
      </c>
      <c r="B741" t="s">
        <v>1512</v>
      </c>
      <c r="C741" t="s">
        <v>12</v>
      </c>
      <c r="D741">
        <v>46</v>
      </c>
      <c r="E741" s="20" t="str">
        <f t="shared" si="11"/>
        <v>46-60</v>
      </c>
      <c r="F741" t="s">
        <v>59</v>
      </c>
      <c r="G741">
        <v>3</v>
      </c>
      <c r="H741">
        <v>107.52</v>
      </c>
      <c r="I741" t="s">
        <v>14</v>
      </c>
      <c r="J741" s="1">
        <v>44206</v>
      </c>
      <c r="K741" t="s">
        <v>40</v>
      </c>
    </row>
    <row r="742" spans="1:11" x14ac:dyDescent="0.3">
      <c r="A742" t="s">
        <v>1513</v>
      </c>
      <c r="B742" t="s">
        <v>1514</v>
      </c>
      <c r="C742" t="s">
        <v>12</v>
      </c>
      <c r="D742">
        <v>30</v>
      </c>
      <c r="E742" s="20" t="str">
        <f t="shared" si="11"/>
        <v>26-35</v>
      </c>
      <c r="F742" t="s">
        <v>37</v>
      </c>
      <c r="G742">
        <v>4</v>
      </c>
      <c r="H742">
        <v>20.92</v>
      </c>
      <c r="I742" t="s">
        <v>28</v>
      </c>
      <c r="J742" s="1">
        <v>44755</v>
      </c>
      <c r="K742" t="s">
        <v>24</v>
      </c>
    </row>
    <row r="743" spans="1:11" x14ac:dyDescent="0.3">
      <c r="A743" t="s">
        <v>1515</v>
      </c>
      <c r="B743" t="s">
        <v>1516</v>
      </c>
      <c r="C743" t="s">
        <v>22</v>
      </c>
      <c r="D743">
        <v>26</v>
      </c>
      <c r="E743" s="20" t="str">
        <f t="shared" si="11"/>
        <v>26-35</v>
      </c>
      <c r="F743" t="s">
        <v>56</v>
      </c>
      <c r="G743">
        <v>3</v>
      </c>
      <c r="H743">
        <v>35.19</v>
      </c>
      <c r="I743" t="s">
        <v>14</v>
      </c>
      <c r="J743" s="1">
        <v>44290</v>
      </c>
      <c r="K743" t="s">
        <v>19</v>
      </c>
    </row>
    <row r="744" spans="1:11" x14ac:dyDescent="0.3">
      <c r="A744" t="s">
        <v>1517</v>
      </c>
      <c r="B744" t="s">
        <v>1518</v>
      </c>
      <c r="C744" t="s">
        <v>22</v>
      </c>
      <c r="D744">
        <v>68</v>
      </c>
      <c r="E744" s="20" t="str">
        <f t="shared" si="11"/>
        <v>60+</v>
      </c>
      <c r="F744" t="s">
        <v>59</v>
      </c>
      <c r="G744">
        <v>2</v>
      </c>
      <c r="H744">
        <v>71.680000000000007</v>
      </c>
      <c r="I744" t="s">
        <v>14</v>
      </c>
      <c r="J744" s="1">
        <v>44379</v>
      </c>
      <c r="K744" t="s">
        <v>84</v>
      </c>
    </row>
    <row r="745" spans="1:11" x14ac:dyDescent="0.3">
      <c r="A745" t="s">
        <v>1519</v>
      </c>
      <c r="B745" t="s">
        <v>1520</v>
      </c>
      <c r="C745" t="s">
        <v>22</v>
      </c>
      <c r="D745">
        <v>43</v>
      </c>
      <c r="E745" s="20" t="str">
        <f t="shared" si="11"/>
        <v>36-45</v>
      </c>
      <c r="F745" t="s">
        <v>48</v>
      </c>
      <c r="G745">
        <v>2</v>
      </c>
      <c r="H745">
        <v>1200.3399999999999</v>
      </c>
      <c r="I745" t="s">
        <v>23</v>
      </c>
      <c r="J745" s="1">
        <v>44629</v>
      </c>
      <c r="K745" t="s">
        <v>60</v>
      </c>
    </row>
    <row r="746" spans="1:11" x14ac:dyDescent="0.3">
      <c r="A746" t="s">
        <v>1521</v>
      </c>
      <c r="B746" t="s">
        <v>1522</v>
      </c>
      <c r="C746" t="s">
        <v>22</v>
      </c>
      <c r="D746">
        <v>21</v>
      </c>
      <c r="E746" s="20" t="str">
        <f t="shared" si="11"/>
        <v>18-25</v>
      </c>
      <c r="F746" t="s">
        <v>13</v>
      </c>
      <c r="G746">
        <v>1</v>
      </c>
      <c r="H746">
        <v>300.08</v>
      </c>
      <c r="I746" t="s">
        <v>28</v>
      </c>
      <c r="J746" s="1">
        <v>44411</v>
      </c>
      <c r="K746" t="s">
        <v>43</v>
      </c>
    </row>
    <row r="747" spans="1:11" x14ac:dyDescent="0.3">
      <c r="A747" t="s">
        <v>1523</v>
      </c>
      <c r="B747" t="s">
        <v>1524</v>
      </c>
      <c r="C747" t="s">
        <v>22</v>
      </c>
      <c r="D747">
        <v>63</v>
      </c>
      <c r="E747" s="20" t="str">
        <f t="shared" si="11"/>
        <v>60+</v>
      </c>
      <c r="F747" t="s">
        <v>59</v>
      </c>
      <c r="G747">
        <v>2</v>
      </c>
      <c r="H747">
        <v>71.680000000000007</v>
      </c>
      <c r="I747" t="s">
        <v>28</v>
      </c>
      <c r="J747" s="1">
        <v>44465</v>
      </c>
      <c r="K747" t="s">
        <v>15</v>
      </c>
    </row>
    <row r="748" spans="1:11" x14ac:dyDescent="0.3">
      <c r="A748" t="s">
        <v>1525</v>
      </c>
      <c r="B748" t="s">
        <v>1526</v>
      </c>
      <c r="C748" t="s">
        <v>22</v>
      </c>
      <c r="D748">
        <v>66</v>
      </c>
      <c r="E748" s="20" t="str">
        <f t="shared" si="11"/>
        <v>60+</v>
      </c>
      <c r="F748" t="s">
        <v>18</v>
      </c>
      <c r="G748">
        <v>5</v>
      </c>
      <c r="H748">
        <v>203.3</v>
      </c>
      <c r="I748" t="s">
        <v>28</v>
      </c>
      <c r="J748" s="1">
        <v>44625</v>
      </c>
      <c r="K748" t="s">
        <v>34</v>
      </c>
    </row>
    <row r="749" spans="1:11" x14ac:dyDescent="0.3">
      <c r="A749" t="s">
        <v>1527</v>
      </c>
      <c r="B749" t="s">
        <v>1528</v>
      </c>
      <c r="C749" t="s">
        <v>22</v>
      </c>
      <c r="D749">
        <v>67</v>
      </c>
      <c r="E749" s="20" t="str">
        <f t="shared" si="11"/>
        <v>60+</v>
      </c>
      <c r="F749" t="s">
        <v>13</v>
      </c>
      <c r="G749">
        <v>5</v>
      </c>
      <c r="H749">
        <v>1500.4</v>
      </c>
      <c r="I749" t="s">
        <v>28</v>
      </c>
      <c r="J749" s="1">
        <v>44978</v>
      </c>
      <c r="K749" t="s">
        <v>84</v>
      </c>
    </row>
    <row r="750" spans="1:11" x14ac:dyDescent="0.3">
      <c r="A750" t="s">
        <v>1529</v>
      </c>
      <c r="B750" t="s">
        <v>1530</v>
      </c>
      <c r="C750" t="s">
        <v>22</v>
      </c>
      <c r="D750">
        <v>39</v>
      </c>
      <c r="E750" s="20" t="str">
        <f t="shared" si="11"/>
        <v>36-45</v>
      </c>
      <c r="F750" t="s">
        <v>18</v>
      </c>
      <c r="G750">
        <v>4</v>
      </c>
      <c r="H750">
        <v>162.63999999999999</v>
      </c>
      <c r="I750" t="s">
        <v>28</v>
      </c>
      <c r="J750" s="1">
        <v>44307</v>
      </c>
      <c r="K750" t="s">
        <v>34</v>
      </c>
    </row>
    <row r="751" spans="1:11" x14ac:dyDescent="0.3">
      <c r="A751" t="s">
        <v>1531</v>
      </c>
      <c r="B751" t="s">
        <v>1532</v>
      </c>
      <c r="C751" t="s">
        <v>12</v>
      </c>
      <c r="D751">
        <v>18</v>
      </c>
      <c r="E751" s="20" t="str">
        <f t="shared" si="11"/>
        <v>18-25</v>
      </c>
      <c r="F751" t="s">
        <v>13</v>
      </c>
      <c r="G751">
        <v>4</v>
      </c>
      <c r="H751">
        <v>1200.32</v>
      </c>
      <c r="I751" t="s">
        <v>14</v>
      </c>
      <c r="J751" s="1">
        <v>44851</v>
      </c>
      <c r="K751" t="s">
        <v>24</v>
      </c>
    </row>
    <row r="752" spans="1:11" x14ac:dyDescent="0.3">
      <c r="A752" t="s">
        <v>1533</v>
      </c>
      <c r="B752" t="s">
        <v>1534</v>
      </c>
      <c r="C752" t="s">
        <v>22</v>
      </c>
      <c r="D752">
        <v>68</v>
      </c>
      <c r="E752" s="20" t="str">
        <f t="shared" si="11"/>
        <v>60+</v>
      </c>
      <c r="F752" t="s">
        <v>31</v>
      </c>
      <c r="G752">
        <v>5</v>
      </c>
      <c r="H752">
        <v>5250</v>
      </c>
      <c r="I752" t="s">
        <v>14</v>
      </c>
      <c r="J752" s="1">
        <v>44778</v>
      </c>
      <c r="K752" t="s">
        <v>84</v>
      </c>
    </row>
    <row r="753" spans="1:11" x14ac:dyDescent="0.3">
      <c r="A753" t="s">
        <v>1535</v>
      </c>
      <c r="B753" t="s">
        <v>1536</v>
      </c>
      <c r="C753" t="s">
        <v>12</v>
      </c>
      <c r="D753">
        <v>37</v>
      </c>
      <c r="E753" s="20" t="str">
        <f t="shared" si="11"/>
        <v>36-45</v>
      </c>
      <c r="F753" t="s">
        <v>13</v>
      </c>
      <c r="G753">
        <v>4</v>
      </c>
      <c r="H753">
        <v>1200.32</v>
      </c>
      <c r="I753" t="s">
        <v>23</v>
      </c>
      <c r="J753" s="1">
        <v>44459</v>
      </c>
      <c r="K753" t="s">
        <v>84</v>
      </c>
    </row>
    <row r="754" spans="1:11" x14ac:dyDescent="0.3">
      <c r="A754" t="s">
        <v>1537</v>
      </c>
      <c r="B754" t="s">
        <v>1538</v>
      </c>
      <c r="C754" t="s">
        <v>22</v>
      </c>
      <c r="D754">
        <v>61</v>
      </c>
      <c r="E754" s="20" t="str">
        <f t="shared" si="11"/>
        <v>60+</v>
      </c>
      <c r="F754" t="s">
        <v>48</v>
      </c>
      <c r="G754">
        <v>3</v>
      </c>
      <c r="H754">
        <v>1800.51</v>
      </c>
      <c r="I754" t="s">
        <v>14</v>
      </c>
      <c r="J754" s="1">
        <v>44635</v>
      </c>
      <c r="K754" t="s">
        <v>34</v>
      </c>
    </row>
    <row r="755" spans="1:11" x14ac:dyDescent="0.3">
      <c r="A755" t="s">
        <v>1539</v>
      </c>
      <c r="B755" t="s">
        <v>1540</v>
      </c>
      <c r="C755" t="s">
        <v>12</v>
      </c>
      <c r="D755">
        <v>28</v>
      </c>
      <c r="E755" s="20" t="str">
        <f t="shared" si="11"/>
        <v>26-35</v>
      </c>
      <c r="F755" t="s">
        <v>13</v>
      </c>
      <c r="G755">
        <v>4</v>
      </c>
      <c r="H755">
        <v>1200.32</v>
      </c>
      <c r="I755" t="s">
        <v>14</v>
      </c>
      <c r="J755" s="1">
        <v>44225</v>
      </c>
      <c r="K755" t="s">
        <v>43</v>
      </c>
    </row>
    <row r="756" spans="1:11" x14ac:dyDescent="0.3">
      <c r="A756" t="s">
        <v>1541</v>
      </c>
      <c r="B756" t="s">
        <v>1542</v>
      </c>
      <c r="C756" t="s">
        <v>12</v>
      </c>
      <c r="D756">
        <v>19</v>
      </c>
      <c r="E756" s="20" t="str">
        <f t="shared" si="11"/>
        <v>18-25</v>
      </c>
      <c r="F756" t="s">
        <v>13</v>
      </c>
      <c r="G756">
        <v>4</v>
      </c>
      <c r="H756">
        <v>1200.32</v>
      </c>
      <c r="I756" t="s">
        <v>28</v>
      </c>
      <c r="J756" s="1">
        <v>44803</v>
      </c>
      <c r="K756" t="s">
        <v>84</v>
      </c>
    </row>
    <row r="757" spans="1:11" x14ac:dyDescent="0.3">
      <c r="A757" t="s">
        <v>1543</v>
      </c>
      <c r="B757" t="s">
        <v>1544</v>
      </c>
      <c r="C757" t="s">
        <v>12</v>
      </c>
      <c r="D757">
        <v>62</v>
      </c>
      <c r="E757" s="20" t="str">
        <f t="shared" si="11"/>
        <v>60+</v>
      </c>
      <c r="F757" t="s">
        <v>13</v>
      </c>
      <c r="G757">
        <v>2</v>
      </c>
      <c r="H757">
        <v>600.16</v>
      </c>
      <c r="I757" t="s">
        <v>28</v>
      </c>
      <c r="J757" s="1">
        <v>44988</v>
      </c>
      <c r="K757" t="s">
        <v>15</v>
      </c>
    </row>
    <row r="758" spans="1:11" x14ac:dyDescent="0.3">
      <c r="A758" t="s">
        <v>1545</v>
      </c>
      <c r="B758" t="s">
        <v>1546</v>
      </c>
      <c r="C758" t="s">
        <v>12</v>
      </c>
      <c r="D758">
        <v>63</v>
      </c>
      <c r="E758" s="20" t="str">
        <f t="shared" si="11"/>
        <v>60+</v>
      </c>
      <c r="F758" t="s">
        <v>56</v>
      </c>
      <c r="G758">
        <v>5</v>
      </c>
      <c r="H758">
        <v>58.65</v>
      </c>
      <c r="I758" t="s">
        <v>14</v>
      </c>
      <c r="J758" s="1">
        <v>44589</v>
      </c>
      <c r="K758" t="s">
        <v>53</v>
      </c>
    </row>
    <row r="759" spans="1:11" x14ac:dyDescent="0.3">
      <c r="A759" t="s">
        <v>1547</v>
      </c>
      <c r="B759" t="s">
        <v>1548</v>
      </c>
      <c r="C759" t="s">
        <v>22</v>
      </c>
      <c r="D759">
        <v>25</v>
      </c>
      <c r="E759" s="20" t="str">
        <f t="shared" si="11"/>
        <v>18-25</v>
      </c>
      <c r="F759" t="s">
        <v>13</v>
      </c>
      <c r="G759">
        <v>2</v>
      </c>
      <c r="H759">
        <v>600.16</v>
      </c>
      <c r="I759" t="s">
        <v>14</v>
      </c>
      <c r="J759" s="1">
        <v>44679</v>
      </c>
      <c r="K759" t="s">
        <v>34</v>
      </c>
    </row>
    <row r="760" spans="1:11" x14ac:dyDescent="0.3">
      <c r="A760" t="s">
        <v>1549</v>
      </c>
      <c r="B760" t="s">
        <v>1550</v>
      </c>
      <c r="C760" t="s">
        <v>12</v>
      </c>
      <c r="D760">
        <v>18</v>
      </c>
      <c r="E760" s="20" t="str">
        <f t="shared" si="11"/>
        <v>18-25</v>
      </c>
      <c r="F760" t="s">
        <v>13</v>
      </c>
      <c r="G760">
        <v>1</v>
      </c>
      <c r="H760">
        <v>300.08</v>
      </c>
      <c r="I760" t="s">
        <v>14</v>
      </c>
      <c r="J760" s="1">
        <v>44885</v>
      </c>
      <c r="K760" t="s">
        <v>34</v>
      </c>
    </row>
    <row r="761" spans="1:11" x14ac:dyDescent="0.3">
      <c r="A761" t="s">
        <v>1551</v>
      </c>
      <c r="B761" t="s">
        <v>1552</v>
      </c>
      <c r="C761" t="s">
        <v>12</v>
      </c>
      <c r="D761">
        <v>18</v>
      </c>
      <c r="E761" s="20" t="str">
        <f t="shared" si="11"/>
        <v>18-25</v>
      </c>
      <c r="F761" t="s">
        <v>13</v>
      </c>
      <c r="G761">
        <v>1</v>
      </c>
      <c r="H761">
        <v>300.08</v>
      </c>
      <c r="I761" t="s">
        <v>28</v>
      </c>
      <c r="J761" s="1">
        <v>44809</v>
      </c>
      <c r="K761" t="s">
        <v>84</v>
      </c>
    </row>
    <row r="762" spans="1:11" x14ac:dyDescent="0.3">
      <c r="A762" t="s">
        <v>1553</v>
      </c>
      <c r="B762" t="s">
        <v>1554</v>
      </c>
      <c r="C762" t="s">
        <v>22</v>
      </c>
      <c r="D762">
        <v>49</v>
      </c>
      <c r="E762" s="20" t="str">
        <f t="shared" si="11"/>
        <v>46-60</v>
      </c>
      <c r="F762" t="s">
        <v>48</v>
      </c>
      <c r="G762">
        <v>3</v>
      </c>
      <c r="H762">
        <v>1800.51</v>
      </c>
      <c r="I762" t="s">
        <v>14</v>
      </c>
      <c r="J762" s="1">
        <v>44888</v>
      </c>
      <c r="K762" t="s">
        <v>24</v>
      </c>
    </row>
    <row r="763" spans="1:11" x14ac:dyDescent="0.3">
      <c r="A763" t="s">
        <v>1555</v>
      </c>
      <c r="B763" t="s">
        <v>1556</v>
      </c>
      <c r="C763" t="s">
        <v>22</v>
      </c>
      <c r="D763">
        <v>56</v>
      </c>
      <c r="E763" s="20" t="str">
        <f t="shared" si="11"/>
        <v>46-60</v>
      </c>
      <c r="F763" t="s">
        <v>56</v>
      </c>
      <c r="G763">
        <v>1</v>
      </c>
      <c r="H763">
        <v>11.73</v>
      </c>
      <c r="I763" t="s">
        <v>14</v>
      </c>
      <c r="J763" s="1">
        <v>44578</v>
      </c>
      <c r="K763" t="s">
        <v>24</v>
      </c>
    </row>
    <row r="764" spans="1:11" x14ac:dyDescent="0.3">
      <c r="A764" t="s">
        <v>1557</v>
      </c>
      <c r="B764" t="s">
        <v>1558</v>
      </c>
      <c r="C764" t="s">
        <v>22</v>
      </c>
      <c r="D764">
        <v>47</v>
      </c>
      <c r="E764" s="20" t="str">
        <f t="shared" si="11"/>
        <v>46-60</v>
      </c>
      <c r="F764" t="s">
        <v>13</v>
      </c>
      <c r="G764">
        <v>2</v>
      </c>
      <c r="H764">
        <v>600.16</v>
      </c>
      <c r="I764" t="s">
        <v>14</v>
      </c>
      <c r="J764" s="1">
        <v>44401</v>
      </c>
      <c r="K764" t="s">
        <v>19</v>
      </c>
    </row>
    <row r="765" spans="1:11" x14ac:dyDescent="0.3">
      <c r="A765" t="s">
        <v>1559</v>
      </c>
      <c r="B765" t="s">
        <v>1560</v>
      </c>
      <c r="C765" t="s">
        <v>22</v>
      </c>
      <c r="D765">
        <v>35</v>
      </c>
      <c r="E765" s="20" t="str">
        <f t="shared" si="11"/>
        <v>26-35</v>
      </c>
      <c r="F765" t="s">
        <v>13</v>
      </c>
      <c r="G765">
        <v>3</v>
      </c>
      <c r="H765">
        <v>900.24</v>
      </c>
      <c r="I765" t="s">
        <v>28</v>
      </c>
      <c r="J765" s="1">
        <v>44811</v>
      </c>
      <c r="K765" t="s">
        <v>40</v>
      </c>
    </row>
    <row r="766" spans="1:11" x14ac:dyDescent="0.3">
      <c r="A766" t="s">
        <v>1561</v>
      </c>
      <c r="B766" t="s">
        <v>1562</v>
      </c>
      <c r="C766" t="s">
        <v>12</v>
      </c>
      <c r="D766">
        <v>24</v>
      </c>
      <c r="E766" s="20" t="str">
        <f t="shared" si="11"/>
        <v>18-25</v>
      </c>
      <c r="F766" t="s">
        <v>18</v>
      </c>
      <c r="G766">
        <v>3</v>
      </c>
      <c r="H766">
        <v>121.98</v>
      </c>
      <c r="I766" t="s">
        <v>28</v>
      </c>
      <c r="J766" s="1">
        <v>44724</v>
      </c>
      <c r="K766" t="s">
        <v>24</v>
      </c>
    </row>
    <row r="767" spans="1:11" x14ac:dyDescent="0.3">
      <c r="A767" t="s">
        <v>1563</v>
      </c>
      <c r="B767" t="s">
        <v>1564</v>
      </c>
      <c r="C767" t="s">
        <v>22</v>
      </c>
      <c r="D767">
        <v>48</v>
      </c>
      <c r="E767" s="20" t="str">
        <f t="shared" si="11"/>
        <v>46-60</v>
      </c>
      <c r="F767" t="s">
        <v>18</v>
      </c>
      <c r="G767">
        <v>4</v>
      </c>
      <c r="H767">
        <v>162.63999999999999</v>
      </c>
      <c r="I767" t="s">
        <v>14</v>
      </c>
      <c r="J767" s="1">
        <v>44208</v>
      </c>
      <c r="K767" t="s">
        <v>34</v>
      </c>
    </row>
    <row r="768" spans="1:11" x14ac:dyDescent="0.3">
      <c r="A768" t="s">
        <v>1565</v>
      </c>
      <c r="B768" t="s">
        <v>1566</v>
      </c>
      <c r="C768" t="s">
        <v>12</v>
      </c>
      <c r="D768">
        <v>53</v>
      </c>
      <c r="E768" s="20" t="str">
        <f t="shared" si="11"/>
        <v>46-60</v>
      </c>
      <c r="F768" t="s">
        <v>48</v>
      </c>
      <c r="G768">
        <v>4</v>
      </c>
      <c r="H768">
        <v>2400.6799999999998</v>
      </c>
      <c r="I768" t="s">
        <v>14</v>
      </c>
      <c r="J768" s="1">
        <v>44659</v>
      </c>
      <c r="K768" t="s">
        <v>34</v>
      </c>
    </row>
    <row r="769" spans="1:11" x14ac:dyDescent="0.3">
      <c r="A769" t="s">
        <v>1567</v>
      </c>
      <c r="B769" t="s">
        <v>1568</v>
      </c>
      <c r="C769" t="s">
        <v>12</v>
      </c>
      <c r="D769">
        <v>56</v>
      </c>
      <c r="E769" s="20" t="str">
        <f t="shared" si="11"/>
        <v>46-60</v>
      </c>
      <c r="F769" t="s">
        <v>13</v>
      </c>
      <c r="G769">
        <v>3</v>
      </c>
      <c r="H769">
        <v>900.24</v>
      </c>
      <c r="I769" t="s">
        <v>28</v>
      </c>
      <c r="J769" s="1">
        <v>44377</v>
      </c>
      <c r="K769" t="s">
        <v>43</v>
      </c>
    </row>
    <row r="770" spans="1:11" x14ac:dyDescent="0.3">
      <c r="A770" t="s">
        <v>1569</v>
      </c>
      <c r="B770" t="s">
        <v>1570</v>
      </c>
      <c r="C770" t="s">
        <v>12</v>
      </c>
      <c r="D770">
        <v>24</v>
      </c>
      <c r="E770" s="20" t="str">
        <f t="shared" si="11"/>
        <v>18-25</v>
      </c>
      <c r="F770" t="s">
        <v>27</v>
      </c>
      <c r="G770">
        <v>5</v>
      </c>
      <c r="H770">
        <v>75.75</v>
      </c>
      <c r="I770" t="s">
        <v>14</v>
      </c>
      <c r="J770" s="1">
        <v>44375</v>
      </c>
      <c r="K770" t="s">
        <v>84</v>
      </c>
    </row>
    <row r="771" spans="1:11" x14ac:dyDescent="0.3">
      <c r="A771" t="s">
        <v>1571</v>
      </c>
      <c r="B771" t="s">
        <v>1572</v>
      </c>
      <c r="C771" t="s">
        <v>22</v>
      </c>
      <c r="D771">
        <v>41</v>
      </c>
      <c r="E771" s="20" t="str">
        <f t="shared" ref="E771:E834" si="12">IF(D771&lt;18,"Below 18",IF(D771&lt;=25,"18-25",IF(D771&lt;=35,"26-35",IF(D771&lt;=45,"36-45",IF(D771&lt;=60,"46-60","60+")))))</f>
        <v>36-45</v>
      </c>
      <c r="F771" t="s">
        <v>13</v>
      </c>
      <c r="G771">
        <v>3</v>
      </c>
      <c r="H771">
        <v>900.24</v>
      </c>
      <c r="I771" t="s">
        <v>14</v>
      </c>
      <c r="J771" s="1">
        <v>44892</v>
      </c>
      <c r="K771" t="s">
        <v>43</v>
      </c>
    </row>
    <row r="772" spans="1:11" x14ac:dyDescent="0.3">
      <c r="A772" t="s">
        <v>1573</v>
      </c>
      <c r="B772" t="s">
        <v>1574</v>
      </c>
      <c r="C772" t="s">
        <v>12</v>
      </c>
      <c r="D772">
        <v>38</v>
      </c>
      <c r="E772" s="20" t="str">
        <f t="shared" si="12"/>
        <v>36-45</v>
      </c>
      <c r="F772" t="s">
        <v>13</v>
      </c>
      <c r="G772">
        <v>4</v>
      </c>
      <c r="H772">
        <v>1200.32</v>
      </c>
      <c r="I772" t="s">
        <v>28</v>
      </c>
      <c r="J772" s="1">
        <v>44543</v>
      </c>
      <c r="K772" t="s">
        <v>24</v>
      </c>
    </row>
    <row r="773" spans="1:11" x14ac:dyDescent="0.3">
      <c r="A773" t="s">
        <v>1575</v>
      </c>
      <c r="B773" t="s">
        <v>1576</v>
      </c>
      <c r="C773" t="s">
        <v>12</v>
      </c>
      <c r="D773">
        <v>23</v>
      </c>
      <c r="E773" s="20" t="str">
        <f t="shared" si="12"/>
        <v>18-25</v>
      </c>
      <c r="F773" t="s">
        <v>31</v>
      </c>
      <c r="G773">
        <v>4</v>
      </c>
      <c r="H773">
        <v>4200</v>
      </c>
      <c r="I773" t="s">
        <v>28</v>
      </c>
      <c r="J773" s="1">
        <v>44821</v>
      </c>
      <c r="K773" t="s">
        <v>84</v>
      </c>
    </row>
    <row r="774" spans="1:11" x14ac:dyDescent="0.3">
      <c r="A774" t="s">
        <v>1577</v>
      </c>
      <c r="B774" t="s">
        <v>1578</v>
      </c>
      <c r="C774" t="s">
        <v>22</v>
      </c>
      <c r="D774">
        <v>58</v>
      </c>
      <c r="E774" s="20" t="str">
        <f t="shared" si="12"/>
        <v>46-60</v>
      </c>
      <c r="F774" t="s">
        <v>13</v>
      </c>
      <c r="G774">
        <v>5</v>
      </c>
      <c r="H774">
        <v>1500.4</v>
      </c>
      <c r="I774" t="s">
        <v>28</v>
      </c>
      <c r="J774" s="1">
        <v>44750</v>
      </c>
      <c r="K774" t="s">
        <v>24</v>
      </c>
    </row>
    <row r="775" spans="1:11" x14ac:dyDescent="0.3">
      <c r="A775" t="s">
        <v>1579</v>
      </c>
      <c r="B775" t="s">
        <v>1580</v>
      </c>
      <c r="C775" t="s">
        <v>12</v>
      </c>
      <c r="D775">
        <v>39</v>
      </c>
      <c r="E775" s="20" t="str">
        <f t="shared" si="12"/>
        <v>36-45</v>
      </c>
      <c r="F775" t="s">
        <v>48</v>
      </c>
      <c r="G775">
        <v>2</v>
      </c>
      <c r="H775">
        <v>1200.3399999999999</v>
      </c>
      <c r="I775" t="s">
        <v>23</v>
      </c>
      <c r="J775" s="1">
        <v>44221</v>
      </c>
      <c r="K775" t="s">
        <v>43</v>
      </c>
    </row>
    <row r="776" spans="1:11" x14ac:dyDescent="0.3">
      <c r="A776" t="s">
        <v>1581</v>
      </c>
      <c r="B776" t="s">
        <v>1582</v>
      </c>
      <c r="C776" t="s">
        <v>22</v>
      </c>
      <c r="D776">
        <v>47</v>
      </c>
      <c r="E776" s="20" t="str">
        <f t="shared" si="12"/>
        <v>46-60</v>
      </c>
      <c r="F776" t="s">
        <v>48</v>
      </c>
      <c r="G776">
        <v>5</v>
      </c>
      <c r="H776">
        <v>3000.85</v>
      </c>
      <c r="I776" t="s">
        <v>14</v>
      </c>
      <c r="J776" s="1">
        <v>44380</v>
      </c>
      <c r="K776" t="s">
        <v>34</v>
      </c>
    </row>
    <row r="777" spans="1:11" x14ac:dyDescent="0.3">
      <c r="A777" t="s">
        <v>1583</v>
      </c>
      <c r="B777" t="s">
        <v>1584</v>
      </c>
      <c r="C777" t="s">
        <v>12</v>
      </c>
      <c r="D777">
        <v>45</v>
      </c>
      <c r="E777" s="20" t="str">
        <f t="shared" si="12"/>
        <v>36-45</v>
      </c>
      <c r="F777" t="s">
        <v>18</v>
      </c>
      <c r="G777">
        <v>4</v>
      </c>
      <c r="H777">
        <v>162.63999999999999</v>
      </c>
      <c r="I777" t="s">
        <v>28</v>
      </c>
      <c r="J777" s="1">
        <v>44326</v>
      </c>
      <c r="K777" t="s">
        <v>15</v>
      </c>
    </row>
    <row r="778" spans="1:11" x14ac:dyDescent="0.3">
      <c r="A778" t="s">
        <v>1585</v>
      </c>
      <c r="B778" t="s">
        <v>1586</v>
      </c>
      <c r="C778" t="s">
        <v>22</v>
      </c>
      <c r="D778">
        <v>44</v>
      </c>
      <c r="E778" s="20" t="str">
        <f t="shared" si="12"/>
        <v>36-45</v>
      </c>
      <c r="F778" t="s">
        <v>37</v>
      </c>
      <c r="G778">
        <v>4</v>
      </c>
      <c r="H778">
        <v>20.92</v>
      </c>
      <c r="I778" t="s">
        <v>23</v>
      </c>
      <c r="J778" s="1">
        <v>44363</v>
      </c>
      <c r="K778" t="s">
        <v>34</v>
      </c>
    </row>
    <row r="779" spans="1:11" x14ac:dyDescent="0.3">
      <c r="A779" t="s">
        <v>1587</v>
      </c>
      <c r="B779" t="s">
        <v>1588</v>
      </c>
      <c r="C779" t="s">
        <v>12</v>
      </c>
      <c r="D779">
        <v>41</v>
      </c>
      <c r="E779" s="20" t="str">
        <f t="shared" si="12"/>
        <v>36-45</v>
      </c>
      <c r="F779" t="s">
        <v>56</v>
      </c>
      <c r="G779">
        <v>5</v>
      </c>
      <c r="H779">
        <v>58.65</v>
      </c>
      <c r="I779" t="s">
        <v>23</v>
      </c>
      <c r="J779" s="1">
        <v>44907</v>
      </c>
      <c r="K779" t="s">
        <v>24</v>
      </c>
    </row>
    <row r="780" spans="1:11" x14ac:dyDescent="0.3">
      <c r="A780" t="s">
        <v>1589</v>
      </c>
      <c r="B780" t="s">
        <v>1590</v>
      </c>
      <c r="C780" t="s">
        <v>22</v>
      </c>
      <c r="D780">
        <v>20</v>
      </c>
      <c r="E780" s="20" t="str">
        <f t="shared" si="12"/>
        <v>18-25</v>
      </c>
      <c r="F780" t="s">
        <v>59</v>
      </c>
      <c r="G780">
        <v>2</v>
      </c>
      <c r="H780">
        <v>71.680000000000007</v>
      </c>
      <c r="I780" t="s">
        <v>23</v>
      </c>
      <c r="J780" s="1">
        <v>44215</v>
      </c>
      <c r="K780" t="s">
        <v>24</v>
      </c>
    </row>
    <row r="781" spans="1:11" x14ac:dyDescent="0.3">
      <c r="A781" t="s">
        <v>1591</v>
      </c>
      <c r="B781" t="s">
        <v>1592</v>
      </c>
      <c r="C781" t="s">
        <v>22</v>
      </c>
      <c r="D781">
        <v>54</v>
      </c>
      <c r="E781" s="20" t="str">
        <f t="shared" si="12"/>
        <v>46-60</v>
      </c>
      <c r="F781" t="s">
        <v>13</v>
      </c>
      <c r="G781">
        <v>2</v>
      </c>
      <c r="H781">
        <v>600.16</v>
      </c>
      <c r="I781" t="s">
        <v>14</v>
      </c>
      <c r="J781" s="1">
        <v>44517</v>
      </c>
      <c r="K781" t="s">
        <v>43</v>
      </c>
    </row>
    <row r="782" spans="1:11" x14ac:dyDescent="0.3">
      <c r="A782" t="s">
        <v>1593</v>
      </c>
      <c r="B782" t="s">
        <v>1594</v>
      </c>
      <c r="C782" t="s">
        <v>22</v>
      </c>
      <c r="D782">
        <v>68</v>
      </c>
      <c r="E782" s="20" t="str">
        <f t="shared" si="12"/>
        <v>60+</v>
      </c>
      <c r="F782" t="s">
        <v>13</v>
      </c>
      <c r="G782">
        <v>3</v>
      </c>
      <c r="H782">
        <v>900.24</v>
      </c>
      <c r="I782" t="s">
        <v>28</v>
      </c>
      <c r="J782" s="1">
        <v>44913</v>
      </c>
      <c r="K782" t="s">
        <v>19</v>
      </c>
    </row>
    <row r="783" spans="1:11" x14ac:dyDescent="0.3">
      <c r="A783" t="s">
        <v>1595</v>
      </c>
      <c r="B783" t="s">
        <v>1596</v>
      </c>
      <c r="C783" t="s">
        <v>22</v>
      </c>
      <c r="D783">
        <v>53</v>
      </c>
      <c r="E783" s="20" t="str">
        <f t="shared" si="12"/>
        <v>46-60</v>
      </c>
      <c r="F783" t="s">
        <v>48</v>
      </c>
      <c r="G783">
        <v>2</v>
      </c>
      <c r="H783">
        <v>1200.3399999999999</v>
      </c>
      <c r="I783" t="s">
        <v>14</v>
      </c>
      <c r="J783" s="1">
        <v>44829</v>
      </c>
      <c r="K783" t="s">
        <v>34</v>
      </c>
    </row>
    <row r="784" spans="1:11" x14ac:dyDescent="0.3">
      <c r="A784" t="s">
        <v>1597</v>
      </c>
      <c r="B784" t="s">
        <v>1598</v>
      </c>
      <c r="C784" t="s">
        <v>22</v>
      </c>
      <c r="D784">
        <v>28</v>
      </c>
      <c r="E784" s="20" t="str">
        <f t="shared" si="12"/>
        <v>26-35</v>
      </c>
      <c r="F784" t="s">
        <v>59</v>
      </c>
      <c r="G784">
        <v>1</v>
      </c>
      <c r="H784">
        <v>35.840000000000003</v>
      </c>
      <c r="I784" t="s">
        <v>23</v>
      </c>
      <c r="J784" s="1">
        <v>44278</v>
      </c>
      <c r="K784" t="s">
        <v>34</v>
      </c>
    </row>
    <row r="785" spans="1:11" x14ac:dyDescent="0.3">
      <c r="A785" t="s">
        <v>1599</v>
      </c>
      <c r="B785" t="s">
        <v>1600</v>
      </c>
      <c r="C785" t="s">
        <v>22</v>
      </c>
      <c r="D785">
        <v>18</v>
      </c>
      <c r="E785" s="20" t="str">
        <f t="shared" si="12"/>
        <v>18-25</v>
      </c>
      <c r="F785" t="s">
        <v>18</v>
      </c>
      <c r="G785">
        <v>4</v>
      </c>
      <c r="H785">
        <v>162.63999999999999</v>
      </c>
      <c r="I785" t="s">
        <v>28</v>
      </c>
      <c r="J785" s="1">
        <v>44220</v>
      </c>
      <c r="K785" t="s">
        <v>84</v>
      </c>
    </row>
    <row r="786" spans="1:11" x14ac:dyDescent="0.3">
      <c r="A786" t="s">
        <v>1601</v>
      </c>
      <c r="B786" t="s">
        <v>1602</v>
      </c>
      <c r="C786" t="s">
        <v>12</v>
      </c>
      <c r="D786">
        <v>61</v>
      </c>
      <c r="E786" s="20" t="str">
        <f t="shared" si="12"/>
        <v>60+</v>
      </c>
      <c r="F786" t="s">
        <v>13</v>
      </c>
      <c r="G786">
        <v>5</v>
      </c>
      <c r="H786">
        <v>1500.4</v>
      </c>
      <c r="I786" t="s">
        <v>23</v>
      </c>
      <c r="J786" s="1">
        <v>44836</v>
      </c>
      <c r="K786" t="s">
        <v>15</v>
      </c>
    </row>
    <row r="787" spans="1:11" x14ac:dyDescent="0.3">
      <c r="A787" t="s">
        <v>1603</v>
      </c>
      <c r="B787" t="s">
        <v>1604</v>
      </c>
      <c r="C787" t="s">
        <v>22</v>
      </c>
      <c r="D787">
        <v>55</v>
      </c>
      <c r="E787" s="20" t="str">
        <f t="shared" si="12"/>
        <v>46-60</v>
      </c>
      <c r="F787" t="s">
        <v>13</v>
      </c>
      <c r="G787">
        <v>4</v>
      </c>
      <c r="H787">
        <v>1200.32</v>
      </c>
      <c r="I787" t="s">
        <v>23</v>
      </c>
      <c r="J787" s="1">
        <v>44402</v>
      </c>
      <c r="K787" t="s">
        <v>53</v>
      </c>
    </row>
    <row r="788" spans="1:11" x14ac:dyDescent="0.3">
      <c r="A788" t="s">
        <v>1605</v>
      </c>
      <c r="B788" t="s">
        <v>1606</v>
      </c>
      <c r="C788" t="s">
        <v>22</v>
      </c>
      <c r="D788">
        <v>58</v>
      </c>
      <c r="E788" s="20" t="str">
        <f t="shared" si="12"/>
        <v>46-60</v>
      </c>
      <c r="F788" t="s">
        <v>13</v>
      </c>
      <c r="G788">
        <v>5</v>
      </c>
      <c r="H788">
        <v>1500.4</v>
      </c>
      <c r="I788" t="s">
        <v>14</v>
      </c>
      <c r="J788" s="1">
        <v>44772</v>
      </c>
      <c r="K788" t="s">
        <v>24</v>
      </c>
    </row>
    <row r="789" spans="1:11" x14ac:dyDescent="0.3">
      <c r="A789" t="s">
        <v>1607</v>
      </c>
      <c r="B789" t="s">
        <v>1608</v>
      </c>
      <c r="C789" t="s">
        <v>22</v>
      </c>
      <c r="D789">
        <v>49</v>
      </c>
      <c r="E789" s="20" t="str">
        <f t="shared" si="12"/>
        <v>46-60</v>
      </c>
      <c r="F789" t="s">
        <v>13</v>
      </c>
      <c r="G789">
        <v>3</v>
      </c>
      <c r="H789">
        <v>900.24</v>
      </c>
      <c r="I789" t="s">
        <v>28</v>
      </c>
      <c r="J789" s="1">
        <v>44927</v>
      </c>
      <c r="K789" t="s">
        <v>43</v>
      </c>
    </row>
    <row r="790" spans="1:11" x14ac:dyDescent="0.3">
      <c r="A790" t="s">
        <v>1609</v>
      </c>
      <c r="B790" t="s">
        <v>1610</v>
      </c>
      <c r="C790" t="s">
        <v>12</v>
      </c>
      <c r="D790">
        <v>60</v>
      </c>
      <c r="E790" s="20" t="str">
        <f t="shared" si="12"/>
        <v>46-60</v>
      </c>
      <c r="F790" t="s">
        <v>48</v>
      </c>
      <c r="G790">
        <v>5</v>
      </c>
      <c r="H790">
        <v>3000.85</v>
      </c>
      <c r="I790" t="s">
        <v>28</v>
      </c>
      <c r="J790" s="1">
        <v>44602</v>
      </c>
      <c r="K790" t="s">
        <v>24</v>
      </c>
    </row>
    <row r="791" spans="1:11" x14ac:dyDescent="0.3">
      <c r="A791" t="s">
        <v>1611</v>
      </c>
      <c r="B791" t="s">
        <v>1612</v>
      </c>
      <c r="C791" t="s">
        <v>12</v>
      </c>
      <c r="D791">
        <v>33</v>
      </c>
      <c r="E791" s="20" t="str">
        <f t="shared" si="12"/>
        <v>26-35</v>
      </c>
      <c r="F791" t="s">
        <v>31</v>
      </c>
      <c r="G791">
        <v>5</v>
      </c>
      <c r="H791">
        <v>5250</v>
      </c>
      <c r="I791" t="s">
        <v>23</v>
      </c>
      <c r="J791" s="1">
        <v>44647</v>
      </c>
      <c r="K791" t="s">
        <v>24</v>
      </c>
    </row>
    <row r="792" spans="1:11" x14ac:dyDescent="0.3">
      <c r="A792" t="s">
        <v>1613</v>
      </c>
      <c r="B792" t="s">
        <v>1614</v>
      </c>
      <c r="C792" t="s">
        <v>12</v>
      </c>
      <c r="D792">
        <v>28</v>
      </c>
      <c r="E792" s="20" t="str">
        <f t="shared" si="12"/>
        <v>26-35</v>
      </c>
      <c r="F792" t="s">
        <v>56</v>
      </c>
      <c r="G792">
        <v>2</v>
      </c>
      <c r="H792">
        <v>23.46</v>
      </c>
      <c r="I792" t="s">
        <v>14</v>
      </c>
      <c r="J792" s="1">
        <v>44251</v>
      </c>
      <c r="K792" t="s">
        <v>60</v>
      </c>
    </row>
    <row r="793" spans="1:11" x14ac:dyDescent="0.3">
      <c r="A793" t="s">
        <v>1615</v>
      </c>
      <c r="B793" t="s">
        <v>1616</v>
      </c>
      <c r="C793" t="s">
        <v>12</v>
      </c>
      <c r="D793">
        <v>66</v>
      </c>
      <c r="E793" s="20" t="str">
        <f t="shared" si="12"/>
        <v>60+</v>
      </c>
      <c r="F793" t="s">
        <v>48</v>
      </c>
      <c r="G793">
        <v>4</v>
      </c>
      <c r="H793">
        <v>2400.6799999999998</v>
      </c>
      <c r="I793" t="s">
        <v>28</v>
      </c>
      <c r="J793" s="1">
        <v>44673</v>
      </c>
      <c r="K793" t="s">
        <v>43</v>
      </c>
    </row>
    <row r="794" spans="1:11" x14ac:dyDescent="0.3">
      <c r="A794" t="s">
        <v>1617</v>
      </c>
      <c r="B794" t="s">
        <v>1618</v>
      </c>
      <c r="C794" t="s">
        <v>22</v>
      </c>
      <c r="D794">
        <v>34</v>
      </c>
      <c r="E794" s="20" t="str">
        <f t="shared" si="12"/>
        <v>26-35</v>
      </c>
      <c r="F794" t="s">
        <v>59</v>
      </c>
      <c r="G794">
        <v>5</v>
      </c>
      <c r="H794">
        <v>179.2</v>
      </c>
      <c r="I794" t="s">
        <v>14</v>
      </c>
      <c r="J794" s="1">
        <v>44291</v>
      </c>
      <c r="K794" t="s">
        <v>34</v>
      </c>
    </row>
    <row r="795" spans="1:11" x14ac:dyDescent="0.3">
      <c r="A795" t="s">
        <v>1619</v>
      </c>
      <c r="B795" t="s">
        <v>1620</v>
      </c>
      <c r="C795" t="s">
        <v>12</v>
      </c>
      <c r="D795">
        <v>35</v>
      </c>
      <c r="E795" s="20" t="str">
        <f t="shared" si="12"/>
        <v>26-35</v>
      </c>
      <c r="F795" t="s">
        <v>13</v>
      </c>
      <c r="G795">
        <v>5</v>
      </c>
      <c r="H795">
        <v>1500.4</v>
      </c>
      <c r="I795" t="s">
        <v>14</v>
      </c>
      <c r="J795" s="1">
        <v>44885</v>
      </c>
      <c r="K795" t="s">
        <v>84</v>
      </c>
    </row>
    <row r="796" spans="1:11" x14ac:dyDescent="0.3">
      <c r="A796" t="s">
        <v>1621</v>
      </c>
      <c r="B796" t="s">
        <v>1622</v>
      </c>
      <c r="C796" t="s">
        <v>12</v>
      </c>
      <c r="D796">
        <v>35</v>
      </c>
      <c r="E796" s="20" t="str">
        <f t="shared" si="12"/>
        <v>26-35</v>
      </c>
      <c r="F796" t="s">
        <v>13</v>
      </c>
      <c r="G796">
        <v>1</v>
      </c>
      <c r="H796">
        <v>300.08</v>
      </c>
      <c r="I796" t="s">
        <v>28</v>
      </c>
      <c r="J796" s="1">
        <v>44230</v>
      </c>
      <c r="K796" t="s">
        <v>43</v>
      </c>
    </row>
    <row r="797" spans="1:11" x14ac:dyDescent="0.3">
      <c r="A797" t="s">
        <v>1623</v>
      </c>
      <c r="B797" t="s">
        <v>1624</v>
      </c>
      <c r="C797" t="s">
        <v>12</v>
      </c>
      <c r="D797">
        <v>57</v>
      </c>
      <c r="E797" s="20" t="str">
        <f t="shared" si="12"/>
        <v>46-60</v>
      </c>
      <c r="F797" t="s">
        <v>18</v>
      </c>
      <c r="G797">
        <v>5</v>
      </c>
      <c r="H797">
        <v>203.3</v>
      </c>
      <c r="I797" t="s">
        <v>14</v>
      </c>
      <c r="J797" s="1">
        <v>44337</v>
      </c>
      <c r="K797" t="s">
        <v>84</v>
      </c>
    </row>
    <row r="798" spans="1:11" x14ac:dyDescent="0.3">
      <c r="A798" t="s">
        <v>1625</v>
      </c>
      <c r="B798" t="s">
        <v>1626</v>
      </c>
      <c r="C798" t="s">
        <v>12</v>
      </c>
      <c r="D798">
        <v>56</v>
      </c>
      <c r="E798" s="20" t="str">
        <f t="shared" si="12"/>
        <v>46-60</v>
      </c>
      <c r="F798" t="s">
        <v>37</v>
      </c>
      <c r="G798">
        <v>2</v>
      </c>
      <c r="H798">
        <v>10.46</v>
      </c>
      <c r="I798" t="s">
        <v>23</v>
      </c>
      <c r="J798" s="1">
        <v>44525</v>
      </c>
      <c r="K798" t="s">
        <v>43</v>
      </c>
    </row>
    <row r="799" spans="1:11" x14ac:dyDescent="0.3">
      <c r="A799" t="s">
        <v>1627</v>
      </c>
      <c r="B799" t="s">
        <v>1628</v>
      </c>
      <c r="C799" t="s">
        <v>22</v>
      </c>
      <c r="D799">
        <v>35</v>
      </c>
      <c r="E799" s="20" t="str">
        <f t="shared" si="12"/>
        <v>26-35</v>
      </c>
      <c r="F799" t="s">
        <v>56</v>
      </c>
      <c r="G799">
        <v>4</v>
      </c>
      <c r="H799">
        <v>46.92</v>
      </c>
      <c r="I799" t="s">
        <v>28</v>
      </c>
      <c r="J799" s="1">
        <v>44913</v>
      </c>
      <c r="K799" t="s">
        <v>24</v>
      </c>
    </row>
    <row r="800" spans="1:11" x14ac:dyDescent="0.3">
      <c r="A800" t="s">
        <v>1629</v>
      </c>
      <c r="B800" t="s">
        <v>1630</v>
      </c>
      <c r="C800" t="s">
        <v>22</v>
      </c>
      <c r="D800">
        <v>41</v>
      </c>
      <c r="E800" s="20" t="str">
        <f t="shared" si="12"/>
        <v>36-45</v>
      </c>
      <c r="F800" t="s">
        <v>48</v>
      </c>
      <c r="G800">
        <v>2</v>
      </c>
      <c r="H800">
        <v>1200.3399999999999</v>
      </c>
      <c r="I800" t="s">
        <v>28</v>
      </c>
      <c r="J800" s="1">
        <v>44819</v>
      </c>
      <c r="K800" t="s">
        <v>60</v>
      </c>
    </row>
    <row r="801" spans="1:11" x14ac:dyDescent="0.3">
      <c r="A801" t="s">
        <v>1631</v>
      </c>
      <c r="B801" t="s">
        <v>1632</v>
      </c>
      <c r="C801" t="s">
        <v>12</v>
      </c>
      <c r="D801">
        <v>47</v>
      </c>
      <c r="E801" s="20" t="str">
        <f t="shared" si="12"/>
        <v>46-60</v>
      </c>
      <c r="F801" t="s">
        <v>13</v>
      </c>
      <c r="G801">
        <v>4</v>
      </c>
      <c r="H801">
        <v>1200.32</v>
      </c>
      <c r="I801" t="s">
        <v>23</v>
      </c>
      <c r="J801" s="1">
        <v>44706</v>
      </c>
      <c r="K801" t="s">
        <v>43</v>
      </c>
    </row>
    <row r="802" spans="1:11" x14ac:dyDescent="0.3">
      <c r="A802" t="s">
        <v>1633</v>
      </c>
      <c r="B802" t="s">
        <v>1634</v>
      </c>
      <c r="C802" t="s">
        <v>12</v>
      </c>
      <c r="D802">
        <v>48</v>
      </c>
      <c r="E802" s="20" t="str">
        <f t="shared" si="12"/>
        <v>46-60</v>
      </c>
      <c r="F802" t="s">
        <v>13</v>
      </c>
      <c r="G802">
        <v>2</v>
      </c>
      <c r="H802">
        <v>600.16</v>
      </c>
      <c r="I802" t="s">
        <v>14</v>
      </c>
      <c r="J802" s="1">
        <v>44452</v>
      </c>
      <c r="K802" t="s">
        <v>34</v>
      </c>
    </row>
    <row r="803" spans="1:11" x14ac:dyDescent="0.3">
      <c r="A803" t="s">
        <v>1635</v>
      </c>
      <c r="B803" t="s">
        <v>1636</v>
      </c>
      <c r="C803" t="s">
        <v>12</v>
      </c>
      <c r="D803">
        <v>63</v>
      </c>
      <c r="E803" s="20" t="str">
        <f t="shared" si="12"/>
        <v>60+</v>
      </c>
      <c r="F803" t="s">
        <v>13</v>
      </c>
      <c r="G803">
        <v>1</v>
      </c>
      <c r="H803">
        <v>300.08</v>
      </c>
      <c r="I803" t="s">
        <v>28</v>
      </c>
      <c r="J803" s="1">
        <v>44821</v>
      </c>
      <c r="K803" t="s">
        <v>24</v>
      </c>
    </row>
    <row r="804" spans="1:11" x14ac:dyDescent="0.3">
      <c r="A804" t="s">
        <v>1637</v>
      </c>
      <c r="B804" t="s">
        <v>1638</v>
      </c>
      <c r="C804" t="s">
        <v>22</v>
      </c>
      <c r="D804">
        <v>28</v>
      </c>
      <c r="E804" s="20" t="str">
        <f t="shared" si="12"/>
        <v>26-35</v>
      </c>
      <c r="F804" t="s">
        <v>13</v>
      </c>
      <c r="G804">
        <v>3</v>
      </c>
      <c r="H804">
        <v>900.24</v>
      </c>
      <c r="I804" t="s">
        <v>28</v>
      </c>
      <c r="J804" s="1">
        <v>44697</v>
      </c>
      <c r="K804" t="s">
        <v>24</v>
      </c>
    </row>
    <row r="805" spans="1:11" x14ac:dyDescent="0.3">
      <c r="A805" t="s">
        <v>1639</v>
      </c>
      <c r="B805" t="s">
        <v>1640</v>
      </c>
      <c r="C805" t="s">
        <v>12</v>
      </c>
      <c r="D805">
        <v>54</v>
      </c>
      <c r="E805" s="20" t="str">
        <f t="shared" si="12"/>
        <v>46-60</v>
      </c>
      <c r="F805" t="s">
        <v>13</v>
      </c>
      <c r="G805">
        <v>3</v>
      </c>
      <c r="H805">
        <v>900.24</v>
      </c>
      <c r="I805" t="s">
        <v>28</v>
      </c>
      <c r="J805" s="1">
        <v>44468</v>
      </c>
      <c r="K805" t="s">
        <v>84</v>
      </c>
    </row>
    <row r="806" spans="1:11" x14ac:dyDescent="0.3">
      <c r="A806" t="s">
        <v>1641</v>
      </c>
      <c r="B806" t="s">
        <v>1642</v>
      </c>
      <c r="C806" t="s">
        <v>22</v>
      </c>
      <c r="D806">
        <v>53</v>
      </c>
      <c r="E806" s="20" t="str">
        <f t="shared" si="12"/>
        <v>46-60</v>
      </c>
      <c r="F806" t="s">
        <v>37</v>
      </c>
      <c r="G806">
        <v>1</v>
      </c>
      <c r="H806">
        <v>5.23</v>
      </c>
      <c r="I806" t="s">
        <v>23</v>
      </c>
      <c r="J806" s="1">
        <v>44496</v>
      </c>
      <c r="K806" t="s">
        <v>43</v>
      </c>
    </row>
    <row r="807" spans="1:11" x14ac:dyDescent="0.3">
      <c r="A807" t="s">
        <v>1643</v>
      </c>
      <c r="B807" t="s">
        <v>1644</v>
      </c>
      <c r="C807" t="s">
        <v>22</v>
      </c>
      <c r="D807">
        <v>34</v>
      </c>
      <c r="E807" s="20" t="str">
        <f t="shared" si="12"/>
        <v>26-35</v>
      </c>
      <c r="F807" t="s">
        <v>13</v>
      </c>
      <c r="G807">
        <v>4</v>
      </c>
      <c r="H807">
        <v>1200.32</v>
      </c>
      <c r="I807" t="s">
        <v>23</v>
      </c>
      <c r="J807" s="1">
        <v>44851</v>
      </c>
      <c r="K807" t="s">
        <v>34</v>
      </c>
    </row>
    <row r="808" spans="1:11" x14ac:dyDescent="0.3">
      <c r="A808" t="s">
        <v>1645</v>
      </c>
      <c r="B808" t="s">
        <v>1646</v>
      </c>
      <c r="C808" t="s">
        <v>22</v>
      </c>
      <c r="D808">
        <v>22</v>
      </c>
      <c r="E808" s="20" t="str">
        <f t="shared" si="12"/>
        <v>18-25</v>
      </c>
      <c r="F808" t="s">
        <v>31</v>
      </c>
      <c r="G808">
        <v>5</v>
      </c>
      <c r="H808">
        <v>5250</v>
      </c>
      <c r="I808" t="s">
        <v>23</v>
      </c>
      <c r="J808" s="1">
        <v>44871</v>
      </c>
      <c r="K808" t="s">
        <v>19</v>
      </c>
    </row>
    <row r="809" spans="1:11" x14ac:dyDescent="0.3">
      <c r="A809" t="s">
        <v>1647</v>
      </c>
      <c r="B809" t="s">
        <v>1648</v>
      </c>
      <c r="C809" t="s">
        <v>12</v>
      </c>
      <c r="D809">
        <v>61</v>
      </c>
      <c r="E809" s="20" t="str">
        <f t="shared" si="12"/>
        <v>60+</v>
      </c>
      <c r="F809" t="s">
        <v>48</v>
      </c>
      <c r="G809">
        <v>2</v>
      </c>
      <c r="H809">
        <v>1200.3399999999999</v>
      </c>
      <c r="I809" t="s">
        <v>28</v>
      </c>
      <c r="J809" s="1">
        <v>44478</v>
      </c>
      <c r="K809" t="s">
        <v>53</v>
      </c>
    </row>
    <row r="810" spans="1:11" x14ac:dyDescent="0.3">
      <c r="A810" t="s">
        <v>1649</v>
      </c>
      <c r="B810" t="s">
        <v>1650</v>
      </c>
      <c r="C810" t="s">
        <v>12</v>
      </c>
      <c r="D810">
        <v>61</v>
      </c>
      <c r="E810" s="20" t="str">
        <f t="shared" si="12"/>
        <v>60+</v>
      </c>
      <c r="F810" t="s">
        <v>13</v>
      </c>
      <c r="G810">
        <v>3</v>
      </c>
      <c r="H810">
        <v>900.24</v>
      </c>
      <c r="I810" t="s">
        <v>28</v>
      </c>
      <c r="J810" s="1">
        <v>44850</v>
      </c>
      <c r="K810" t="s">
        <v>84</v>
      </c>
    </row>
    <row r="811" spans="1:11" x14ac:dyDescent="0.3">
      <c r="A811" t="s">
        <v>1651</v>
      </c>
      <c r="B811" t="s">
        <v>1652</v>
      </c>
      <c r="C811" t="s">
        <v>22</v>
      </c>
      <c r="D811">
        <v>46</v>
      </c>
      <c r="E811" s="20" t="str">
        <f t="shared" si="12"/>
        <v>46-60</v>
      </c>
      <c r="F811" t="s">
        <v>37</v>
      </c>
      <c r="G811">
        <v>5</v>
      </c>
      <c r="H811">
        <v>26.15</v>
      </c>
      <c r="I811" t="s">
        <v>23</v>
      </c>
      <c r="J811" s="1">
        <v>44212</v>
      </c>
      <c r="K811" t="s">
        <v>43</v>
      </c>
    </row>
    <row r="812" spans="1:11" x14ac:dyDescent="0.3">
      <c r="A812" t="s">
        <v>1653</v>
      </c>
      <c r="B812" t="s">
        <v>1654</v>
      </c>
      <c r="C812" t="s">
        <v>22</v>
      </c>
      <c r="D812">
        <v>46</v>
      </c>
      <c r="E812" s="20" t="str">
        <f t="shared" si="12"/>
        <v>46-60</v>
      </c>
      <c r="F812" t="s">
        <v>48</v>
      </c>
      <c r="G812">
        <v>1</v>
      </c>
      <c r="H812">
        <v>600.16999999999996</v>
      </c>
      <c r="I812" t="s">
        <v>28</v>
      </c>
      <c r="J812" s="1">
        <v>44369</v>
      </c>
      <c r="K812" t="s">
        <v>43</v>
      </c>
    </row>
    <row r="813" spans="1:11" x14ac:dyDescent="0.3">
      <c r="A813" t="s">
        <v>1655</v>
      </c>
      <c r="B813" t="s">
        <v>1656</v>
      </c>
      <c r="C813" t="s">
        <v>22</v>
      </c>
      <c r="D813">
        <v>33</v>
      </c>
      <c r="E813" s="20" t="str">
        <f t="shared" si="12"/>
        <v>26-35</v>
      </c>
      <c r="F813" t="s">
        <v>27</v>
      </c>
      <c r="G813">
        <v>4</v>
      </c>
      <c r="H813">
        <v>60.6</v>
      </c>
      <c r="I813" t="s">
        <v>28</v>
      </c>
      <c r="J813" s="1">
        <v>44218</v>
      </c>
      <c r="K813" t="s">
        <v>15</v>
      </c>
    </row>
    <row r="814" spans="1:11" x14ac:dyDescent="0.3">
      <c r="A814" t="s">
        <v>1657</v>
      </c>
      <c r="B814" t="s">
        <v>1658</v>
      </c>
      <c r="C814" t="s">
        <v>22</v>
      </c>
      <c r="D814">
        <v>23</v>
      </c>
      <c r="E814" s="20" t="str">
        <f t="shared" si="12"/>
        <v>18-25</v>
      </c>
      <c r="F814" t="s">
        <v>37</v>
      </c>
      <c r="G814">
        <v>2</v>
      </c>
      <c r="H814">
        <v>10.46</v>
      </c>
      <c r="I814" t="s">
        <v>28</v>
      </c>
      <c r="J814" s="1">
        <v>44423</v>
      </c>
      <c r="K814" t="s">
        <v>15</v>
      </c>
    </row>
    <row r="815" spans="1:11" x14ac:dyDescent="0.3">
      <c r="A815" t="s">
        <v>1659</v>
      </c>
      <c r="B815" t="s">
        <v>1660</v>
      </c>
      <c r="C815" t="s">
        <v>12</v>
      </c>
      <c r="D815">
        <v>61</v>
      </c>
      <c r="E815" s="20" t="str">
        <f t="shared" si="12"/>
        <v>60+</v>
      </c>
      <c r="F815" t="s">
        <v>18</v>
      </c>
      <c r="G815">
        <v>1</v>
      </c>
      <c r="H815">
        <v>40.659999999999997</v>
      </c>
      <c r="I815" t="s">
        <v>14</v>
      </c>
      <c r="J815" s="1">
        <v>44577</v>
      </c>
      <c r="K815" t="s">
        <v>43</v>
      </c>
    </row>
    <row r="816" spans="1:11" x14ac:dyDescent="0.3">
      <c r="A816" t="s">
        <v>1661</v>
      </c>
      <c r="B816" t="s">
        <v>1662</v>
      </c>
      <c r="C816" t="s">
        <v>12</v>
      </c>
      <c r="D816">
        <v>33</v>
      </c>
      <c r="E816" s="20" t="str">
        <f t="shared" si="12"/>
        <v>26-35</v>
      </c>
      <c r="F816" t="s">
        <v>18</v>
      </c>
      <c r="G816">
        <v>3</v>
      </c>
      <c r="H816">
        <v>121.98</v>
      </c>
      <c r="I816" t="s">
        <v>28</v>
      </c>
      <c r="J816" s="1">
        <v>44621</v>
      </c>
      <c r="K816" t="s">
        <v>73</v>
      </c>
    </row>
    <row r="817" spans="1:11" x14ac:dyDescent="0.3">
      <c r="A817" t="s">
        <v>1663</v>
      </c>
      <c r="B817" t="s">
        <v>1664</v>
      </c>
      <c r="C817" t="s">
        <v>12</v>
      </c>
      <c r="D817">
        <v>45</v>
      </c>
      <c r="E817" s="20" t="str">
        <f t="shared" si="12"/>
        <v>36-45</v>
      </c>
      <c r="F817" t="s">
        <v>59</v>
      </c>
      <c r="G817">
        <v>3</v>
      </c>
      <c r="H817">
        <v>107.52</v>
      </c>
      <c r="I817" t="s">
        <v>23</v>
      </c>
      <c r="J817" s="1">
        <v>44735</v>
      </c>
      <c r="K817" t="s">
        <v>19</v>
      </c>
    </row>
    <row r="818" spans="1:11" x14ac:dyDescent="0.3">
      <c r="A818" t="s">
        <v>1665</v>
      </c>
      <c r="B818" t="s">
        <v>1666</v>
      </c>
      <c r="C818" t="s">
        <v>22</v>
      </c>
      <c r="D818">
        <v>25</v>
      </c>
      <c r="E818" s="20" t="str">
        <f t="shared" si="12"/>
        <v>18-25</v>
      </c>
      <c r="F818" t="s">
        <v>13</v>
      </c>
      <c r="G818">
        <v>3</v>
      </c>
      <c r="H818">
        <v>900.24</v>
      </c>
      <c r="I818" t="s">
        <v>14</v>
      </c>
      <c r="J818" s="1">
        <v>44290</v>
      </c>
      <c r="K818" t="s">
        <v>15</v>
      </c>
    </row>
    <row r="819" spans="1:11" x14ac:dyDescent="0.3">
      <c r="A819" t="s">
        <v>1667</v>
      </c>
      <c r="B819" t="s">
        <v>1668</v>
      </c>
      <c r="C819" t="s">
        <v>22</v>
      </c>
      <c r="D819">
        <v>46</v>
      </c>
      <c r="E819" s="20" t="str">
        <f t="shared" si="12"/>
        <v>46-60</v>
      </c>
      <c r="F819" t="s">
        <v>13</v>
      </c>
      <c r="G819">
        <v>4</v>
      </c>
      <c r="H819">
        <v>1200.32</v>
      </c>
      <c r="I819" t="s">
        <v>23</v>
      </c>
      <c r="J819" s="1">
        <v>44895</v>
      </c>
      <c r="K819" t="s">
        <v>34</v>
      </c>
    </row>
    <row r="820" spans="1:11" x14ac:dyDescent="0.3">
      <c r="A820" t="s">
        <v>1669</v>
      </c>
      <c r="B820" t="s">
        <v>1670</v>
      </c>
      <c r="C820" t="s">
        <v>12</v>
      </c>
      <c r="D820">
        <v>34</v>
      </c>
      <c r="E820" s="20" t="str">
        <f t="shared" si="12"/>
        <v>26-35</v>
      </c>
      <c r="F820" t="s">
        <v>48</v>
      </c>
      <c r="G820">
        <v>1</v>
      </c>
      <c r="H820">
        <v>600.16999999999996</v>
      </c>
      <c r="I820" t="s">
        <v>14</v>
      </c>
      <c r="J820" s="1">
        <v>44247</v>
      </c>
      <c r="K820" t="s">
        <v>60</v>
      </c>
    </row>
    <row r="821" spans="1:11" x14ac:dyDescent="0.3">
      <c r="A821" t="s">
        <v>1671</v>
      </c>
      <c r="B821" t="s">
        <v>1672</v>
      </c>
      <c r="C821" t="s">
        <v>22</v>
      </c>
      <c r="D821">
        <v>55</v>
      </c>
      <c r="E821" s="20" t="str">
        <f t="shared" si="12"/>
        <v>46-60</v>
      </c>
      <c r="F821" t="s">
        <v>18</v>
      </c>
      <c r="G821">
        <v>3</v>
      </c>
      <c r="H821">
        <v>121.98</v>
      </c>
      <c r="I821" t="s">
        <v>28</v>
      </c>
      <c r="J821" s="1">
        <v>44254</v>
      </c>
      <c r="K821" t="s">
        <v>60</v>
      </c>
    </row>
    <row r="822" spans="1:11" x14ac:dyDescent="0.3">
      <c r="A822" t="s">
        <v>1673</v>
      </c>
      <c r="B822" t="s">
        <v>1674</v>
      </c>
      <c r="C822" t="s">
        <v>22</v>
      </c>
      <c r="D822">
        <v>34</v>
      </c>
      <c r="E822" s="20" t="str">
        <f t="shared" si="12"/>
        <v>26-35</v>
      </c>
      <c r="F822" t="s">
        <v>13</v>
      </c>
      <c r="G822">
        <v>2</v>
      </c>
      <c r="H822">
        <v>600.16</v>
      </c>
      <c r="I822" t="s">
        <v>28</v>
      </c>
      <c r="J822" s="1">
        <v>44298</v>
      </c>
      <c r="K822" t="s">
        <v>24</v>
      </c>
    </row>
    <row r="823" spans="1:11" x14ac:dyDescent="0.3">
      <c r="A823" t="s">
        <v>1675</v>
      </c>
      <c r="B823" t="s">
        <v>1676</v>
      </c>
      <c r="C823" t="s">
        <v>22</v>
      </c>
      <c r="D823">
        <v>22</v>
      </c>
      <c r="E823" s="20" t="str">
        <f t="shared" si="12"/>
        <v>18-25</v>
      </c>
      <c r="F823" t="s">
        <v>56</v>
      </c>
      <c r="G823">
        <v>2</v>
      </c>
      <c r="H823">
        <v>23.46</v>
      </c>
      <c r="I823" t="s">
        <v>28</v>
      </c>
      <c r="J823" s="1">
        <v>44260</v>
      </c>
      <c r="K823" t="s">
        <v>43</v>
      </c>
    </row>
    <row r="824" spans="1:11" x14ac:dyDescent="0.3">
      <c r="A824" t="s">
        <v>1677</v>
      </c>
      <c r="B824" t="s">
        <v>1678</v>
      </c>
      <c r="C824" t="s">
        <v>22</v>
      </c>
      <c r="D824">
        <v>30</v>
      </c>
      <c r="E824" s="20" t="str">
        <f t="shared" si="12"/>
        <v>26-35</v>
      </c>
      <c r="F824" t="s">
        <v>48</v>
      </c>
      <c r="G824">
        <v>2</v>
      </c>
      <c r="H824">
        <v>1200.3399999999999</v>
      </c>
      <c r="I824" t="s">
        <v>14</v>
      </c>
      <c r="J824" s="1">
        <v>44475</v>
      </c>
      <c r="K824" t="s">
        <v>60</v>
      </c>
    </row>
    <row r="825" spans="1:11" x14ac:dyDescent="0.3">
      <c r="A825" t="s">
        <v>1679</v>
      </c>
      <c r="B825" t="s">
        <v>1680</v>
      </c>
      <c r="C825" t="s">
        <v>22</v>
      </c>
      <c r="D825">
        <v>62</v>
      </c>
      <c r="E825" s="20" t="str">
        <f t="shared" si="12"/>
        <v>60+</v>
      </c>
      <c r="F825" t="s">
        <v>13</v>
      </c>
      <c r="G825">
        <v>2</v>
      </c>
      <c r="H825">
        <v>600.16</v>
      </c>
      <c r="I825" t="s">
        <v>23</v>
      </c>
      <c r="J825" s="1">
        <v>44367</v>
      </c>
      <c r="K825" t="s">
        <v>40</v>
      </c>
    </row>
    <row r="826" spans="1:11" x14ac:dyDescent="0.3">
      <c r="A826" t="s">
        <v>1681</v>
      </c>
      <c r="B826" t="s">
        <v>1682</v>
      </c>
      <c r="C826" t="s">
        <v>12</v>
      </c>
      <c r="D826">
        <v>45</v>
      </c>
      <c r="E826" s="20" t="str">
        <f t="shared" si="12"/>
        <v>36-45</v>
      </c>
      <c r="F826" t="s">
        <v>59</v>
      </c>
      <c r="G826">
        <v>4</v>
      </c>
      <c r="H826">
        <v>143.36000000000001</v>
      </c>
      <c r="I826" t="s">
        <v>14</v>
      </c>
      <c r="J826" s="1">
        <v>44693</v>
      </c>
      <c r="K826" t="s">
        <v>34</v>
      </c>
    </row>
    <row r="827" spans="1:11" x14ac:dyDescent="0.3">
      <c r="A827" t="s">
        <v>1683</v>
      </c>
      <c r="B827" t="s">
        <v>1684</v>
      </c>
      <c r="C827" t="s">
        <v>12</v>
      </c>
      <c r="D827">
        <v>26</v>
      </c>
      <c r="E827" s="20" t="str">
        <f t="shared" si="12"/>
        <v>26-35</v>
      </c>
      <c r="F827" t="s">
        <v>13</v>
      </c>
      <c r="G827">
        <v>1</v>
      </c>
      <c r="H827">
        <v>300.08</v>
      </c>
      <c r="I827" t="s">
        <v>14</v>
      </c>
      <c r="J827" s="1">
        <v>44942</v>
      </c>
      <c r="K827" t="s">
        <v>43</v>
      </c>
    </row>
    <row r="828" spans="1:11" x14ac:dyDescent="0.3">
      <c r="A828" t="s">
        <v>1685</v>
      </c>
      <c r="B828" t="s">
        <v>1686</v>
      </c>
      <c r="C828" t="s">
        <v>22</v>
      </c>
      <c r="D828">
        <v>30</v>
      </c>
      <c r="E828" s="20" t="str">
        <f t="shared" si="12"/>
        <v>26-35</v>
      </c>
      <c r="F828" t="s">
        <v>13</v>
      </c>
      <c r="G828">
        <v>5</v>
      </c>
      <c r="H828">
        <v>1500.4</v>
      </c>
      <c r="I828" t="s">
        <v>23</v>
      </c>
      <c r="J828" s="1">
        <v>44453</v>
      </c>
      <c r="K828" t="s">
        <v>60</v>
      </c>
    </row>
    <row r="829" spans="1:11" x14ac:dyDescent="0.3">
      <c r="A829" t="s">
        <v>1687</v>
      </c>
      <c r="B829" t="s">
        <v>1688</v>
      </c>
      <c r="C829" t="s">
        <v>22</v>
      </c>
      <c r="D829">
        <v>31</v>
      </c>
      <c r="E829" s="20" t="str">
        <f t="shared" si="12"/>
        <v>26-35</v>
      </c>
      <c r="F829" t="s">
        <v>27</v>
      </c>
      <c r="G829">
        <v>4</v>
      </c>
      <c r="H829">
        <v>60.6</v>
      </c>
      <c r="I829" t="s">
        <v>14</v>
      </c>
      <c r="J829" s="1">
        <v>44615</v>
      </c>
      <c r="K829" t="s">
        <v>24</v>
      </c>
    </row>
    <row r="830" spans="1:11" x14ac:dyDescent="0.3">
      <c r="A830" t="s">
        <v>1689</v>
      </c>
      <c r="B830" t="s">
        <v>1690</v>
      </c>
      <c r="C830" t="s">
        <v>12</v>
      </c>
      <c r="D830">
        <v>63</v>
      </c>
      <c r="E830" s="20" t="str">
        <f t="shared" si="12"/>
        <v>60+</v>
      </c>
      <c r="F830" t="s">
        <v>13</v>
      </c>
      <c r="G830">
        <v>3</v>
      </c>
      <c r="H830">
        <v>900.24</v>
      </c>
      <c r="I830" t="s">
        <v>28</v>
      </c>
      <c r="J830" s="1">
        <v>44496</v>
      </c>
      <c r="K830" t="s">
        <v>34</v>
      </c>
    </row>
    <row r="831" spans="1:11" x14ac:dyDescent="0.3">
      <c r="A831" t="s">
        <v>1691</v>
      </c>
      <c r="B831" t="s">
        <v>1692</v>
      </c>
      <c r="C831" t="s">
        <v>22</v>
      </c>
      <c r="D831">
        <v>48</v>
      </c>
      <c r="E831" s="20" t="str">
        <f t="shared" si="12"/>
        <v>46-60</v>
      </c>
      <c r="F831" t="s">
        <v>59</v>
      </c>
      <c r="G831">
        <v>5</v>
      </c>
      <c r="H831">
        <v>179.2</v>
      </c>
      <c r="I831" t="s">
        <v>14</v>
      </c>
      <c r="J831" s="1">
        <v>44820</v>
      </c>
      <c r="K831" t="s">
        <v>24</v>
      </c>
    </row>
    <row r="832" spans="1:11" x14ac:dyDescent="0.3">
      <c r="A832" t="s">
        <v>1693</v>
      </c>
      <c r="B832" t="s">
        <v>1694</v>
      </c>
      <c r="C832" t="s">
        <v>22</v>
      </c>
      <c r="D832">
        <v>49</v>
      </c>
      <c r="E832" s="20" t="str">
        <f t="shared" si="12"/>
        <v>46-60</v>
      </c>
      <c r="F832" t="s">
        <v>13</v>
      </c>
      <c r="G832">
        <v>5</v>
      </c>
      <c r="H832">
        <v>1500.4</v>
      </c>
      <c r="I832" t="s">
        <v>14</v>
      </c>
      <c r="J832" s="1">
        <v>44360</v>
      </c>
      <c r="K832" t="s">
        <v>34</v>
      </c>
    </row>
    <row r="833" spans="1:11" x14ac:dyDescent="0.3">
      <c r="A833" t="s">
        <v>1695</v>
      </c>
      <c r="B833" t="s">
        <v>1696</v>
      </c>
      <c r="C833" t="s">
        <v>22</v>
      </c>
      <c r="D833">
        <v>21</v>
      </c>
      <c r="E833" s="20" t="str">
        <f t="shared" si="12"/>
        <v>18-25</v>
      </c>
      <c r="F833" t="s">
        <v>13</v>
      </c>
      <c r="G833">
        <v>1</v>
      </c>
      <c r="H833">
        <v>300.08</v>
      </c>
      <c r="I833" t="s">
        <v>28</v>
      </c>
      <c r="J833" s="1">
        <v>44991</v>
      </c>
      <c r="K833" t="s">
        <v>43</v>
      </c>
    </row>
    <row r="834" spans="1:11" x14ac:dyDescent="0.3">
      <c r="A834" t="s">
        <v>1697</v>
      </c>
      <c r="B834" t="s">
        <v>1698</v>
      </c>
      <c r="C834" t="s">
        <v>12</v>
      </c>
      <c r="D834">
        <v>43</v>
      </c>
      <c r="E834" s="20" t="str">
        <f t="shared" si="12"/>
        <v>36-45</v>
      </c>
      <c r="F834" t="s">
        <v>18</v>
      </c>
      <c r="G834">
        <v>4</v>
      </c>
      <c r="H834">
        <v>162.63999999999999</v>
      </c>
      <c r="I834" t="s">
        <v>28</v>
      </c>
      <c r="J834" s="1">
        <v>44889</v>
      </c>
      <c r="K834" t="s">
        <v>40</v>
      </c>
    </row>
    <row r="835" spans="1:11" x14ac:dyDescent="0.3">
      <c r="A835" t="s">
        <v>1699</v>
      </c>
      <c r="B835" t="s">
        <v>1700</v>
      </c>
      <c r="C835" t="s">
        <v>22</v>
      </c>
      <c r="D835">
        <v>62</v>
      </c>
      <c r="E835" s="20" t="str">
        <f t="shared" ref="E835:E898" si="13">IF(D835&lt;18,"Below 18",IF(D835&lt;=25,"18-25",IF(D835&lt;=35,"26-35",IF(D835&lt;=45,"36-45",IF(D835&lt;=60,"46-60","60+")))))</f>
        <v>60+</v>
      </c>
      <c r="F835" t="s">
        <v>48</v>
      </c>
      <c r="G835">
        <v>2</v>
      </c>
      <c r="H835">
        <v>1200.3399999999999</v>
      </c>
      <c r="I835" t="s">
        <v>14</v>
      </c>
      <c r="J835" s="1">
        <v>44796</v>
      </c>
      <c r="K835" t="s">
        <v>24</v>
      </c>
    </row>
    <row r="836" spans="1:11" x14ac:dyDescent="0.3">
      <c r="A836" t="s">
        <v>1701</v>
      </c>
      <c r="B836" t="s">
        <v>1702</v>
      </c>
      <c r="C836" t="s">
        <v>22</v>
      </c>
      <c r="D836">
        <v>36</v>
      </c>
      <c r="E836" s="20" t="str">
        <f t="shared" si="13"/>
        <v>36-45</v>
      </c>
      <c r="F836" t="s">
        <v>13</v>
      </c>
      <c r="G836">
        <v>3</v>
      </c>
      <c r="H836">
        <v>900.24</v>
      </c>
      <c r="I836" t="s">
        <v>14</v>
      </c>
      <c r="J836" s="1">
        <v>44249</v>
      </c>
      <c r="K836" t="s">
        <v>34</v>
      </c>
    </row>
    <row r="837" spans="1:11" x14ac:dyDescent="0.3">
      <c r="A837" t="s">
        <v>1703</v>
      </c>
      <c r="B837" t="s">
        <v>1704</v>
      </c>
      <c r="C837" t="s">
        <v>22</v>
      </c>
      <c r="D837">
        <v>32</v>
      </c>
      <c r="E837" s="20" t="str">
        <f t="shared" si="13"/>
        <v>26-35</v>
      </c>
      <c r="F837" t="s">
        <v>37</v>
      </c>
      <c r="G837">
        <v>2</v>
      </c>
      <c r="H837">
        <v>10.46</v>
      </c>
      <c r="I837" t="s">
        <v>14</v>
      </c>
      <c r="J837" s="1">
        <v>44928</v>
      </c>
      <c r="K837" t="s">
        <v>43</v>
      </c>
    </row>
    <row r="838" spans="1:11" x14ac:dyDescent="0.3">
      <c r="A838" t="s">
        <v>1705</v>
      </c>
      <c r="B838" t="s">
        <v>1706</v>
      </c>
      <c r="C838" t="s">
        <v>12</v>
      </c>
      <c r="D838">
        <v>44</v>
      </c>
      <c r="E838" s="20" t="str">
        <f t="shared" si="13"/>
        <v>36-45</v>
      </c>
      <c r="F838" t="s">
        <v>13</v>
      </c>
      <c r="G838">
        <v>3</v>
      </c>
      <c r="H838">
        <v>900.24</v>
      </c>
      <c r="I838" t="s">
        <v>23</v>
      </c>
      <c r="J838" s="1">
        <v>44861</v>
      </c>
      <c r="K838" t="s">
        <v>73</v>
      </c>
    </row>
    <row r="839" spans="1:11" x14ac:dyDescent="0.3">
      <c r="A839" t="s">
        <v>1707</v>
      </c>
      <c r="B839" t="s">
        <v>1708</v>
      </c>
      <c r="C839" t="s">
        <v>22</v>
      </c>
      <c r="D839">
        <v>48</v>
      </c>
      <c r="E839" s="20" t="str">
        <f t="shared" si="13"/>
        <v>46-60</v>
      </c>
      <c r="F839" t="s">
        <v>37</v>
      </c>
      <c r="G839">
        <v>2</v>
      </c>
      <c r="H839">
        <v>10.46</v>
      </c>
      <c r="I839" t="s">
        <v>14</v>
      </c>
      <c r="J839" s="1">
        <v>44417</v>
      </c>
      <c r="K839" t="s">
        <v>34</v>
      </c>
    </row>
    <row r="840" spans="1:11" x14ac:dyDescent="0.3">
      <c r="A840" t="s">
        <v>1709</v>
      </c>
      <c r="B840" t="s">
        <v>1710</v>
      </c>
      <c r="C840" t="s">
        <v>12</v>
      </c>
      <c r="D840">
        <v>48</v>
      </c>
      <c r="E840" s="20" t="str">
        <f t="shared" si="13"/>
        <v>46-60</v>
      </c>
      <c r="F840" t="s">
        <v>13</v>
      </c>
      <c r="G840">
        <v>1</v>
      </c>
      <c r="H840">
        <v>300.08</v>
      </c>
      <c r="I840" t="s">
        <v>28</v>
      </c>
      <c r="J840" s="1">
        <v>44694</v>
      </c>
      <c r="K840" t="s">
        <v>24</v>
      </c>
    </row>
    <row r="841" spans="1:11" x14ac:dyDescent="0.3">
      <c r="A841" t="s">
        <v>1711</v>
      </c>
      <c r="B841" t="s">
        <v>1712</v>
      </c>
      <c r="C841" t="s">
        <v>12</v>
      </c>
      <c r="D841">
        <v>26</v>
      </c>
      <c r="E841" s="20" t="str">
        <f t="shared" si="13"/>
        <v>26-35</v>
      </c>
      <c r="F841" t="s">
        <v>48</v>
      </c>
      <c r="G841">
        <v>3</v>
      </c>
      <c r="H841">
        <v>1800.51</v>
      </c>
      <c r="I841" t="s">
        <v>14</v>
      </c>
      <c r="J841" s="1">
        <v>44380</v>
      </c>
      <c r="K841" t="s">
        <v>24</v>
      </c>
    </row>
    <row r="842" spans="1:11" x14ac:dyDescent="0.3">
      <c r="A842" t="s">
        <v>1713</v>
      </c>
      <c r="B842" t="s">
        <v>1714</v>
      </c>
      <c r="C842" t="s">
        <v>22</v>
      </c>
      <c r="D842">
        <v>65</v>
      </c>
      <c r="E842" s="20" t="str">
        <f t="shared" si="13"/>
        <v>60+</v>
      </c>
      <c r="F842" t="s">
        <v>48</v>
      </c>
      <c r="G842">
        <v>4</v>
      </c>
      <c r="H842">
        <v>2400.6799999999998</v>
      </c>
      <c r="I842" t="s">
        <v>28</v>
      </c>
      <c r="J842" s="1">
        <v>44283</v>
      </c>
      <c r="K842" t="s">
        <v>60</v>
      </c>
    </row>
    <row r="843" spans="1:11" x14ac:dyDescent="0.3">
      <c r="A843" t="s">
        <v>1715</v>
      </c>
      <c r="B843" t="s">
        <v>1716</v>
      </c>
      <c r="C843" t="s">
        <v>22</v>
      </c>
      <c r="D843">
        <v>37</v>
      </c>
      <c r="E843" s="20" t="str">
        <f t="shared" si="13"/>
        <v>36-45</v>
      </c>
      <c r="F843" t="s">
        <v>37</v>
      </c>
      <c r="G843">
        <v>3</v>
      </c>
      <c r="H843">
        <v>15.69</v>
      </c>
      <c r="I843" t="s">
        <v>28</v>
      </c>
      <c r="J843" s="1">
        <v>44644</v>
      </c>
      <c r="K843" t="s">
        <v>84</v>
      </c>
    </row>
    <row r="844" spans="1:11" x14ac:dyDescent="0.3">
      <c r="A844" t="s">
        <v>1717</v>
      </c>
      <c r="B844" t="s">
        <v>1718</v>
      </c>
      <c r="C844" t="s">
        <v>22</v>
      </c>
      <c r="D844">
        <v>66</v>
      </c>
      <c r="E844" s="20" t="str">
        <f t="shared" si="13"/>
        <v>60+</v>
      </c>
      <c r="F844" t="s">
        <v>13</v>
      </c>
      <c r="G844">
        <v>2</v>
      </c>
      <c r="H844">
        <v>600.16</v>
      </c>
      <c r="I844" t="s">
        <v>28</v>
      </c>
      <c r="J844" s="1">
        <v>44833</v>
      </c>
      <c r="K844" t="s">
        <v>24</v>
      </c>
    </row>
    <row r="845" spans="1:11" x14ac:dyDescent="0.3">
      <c r="A845" t="s">
        <v>1719</v>
      </c>
      <c r="B845" t="s">
        <v>1720</v>
      </c>
      <c r="C845" t="s">
        <v>22</v>
      </c>
      <c r="D845">
        <v>50</v>
      </c>
      <c r="E845" s="20" t="str">
        <f t="shared" si="13"/>
        <v>46-60</v>
      </c>
      <c r="F845" t="s">
        <v>48</v>
      </c>
      <c r="G845">
        <v>1</v>
      </c>
      <c r="H845">
        <v>600.16999999999996</v>
      </c>
      <c r="I845" t="s">
        <v>14</v>
      </c>
      <c r="J845" s="1">
        <v>44342</v>
      </c>
      <c r="K845" t="s">
        <v>84</v>
      </c>
    </row>
    <row r="846" spans="1:11" x14ac:dyDescent="0.3">
      <c r="A846" t="s">
        <v>1721</v>
      </c>
      <c r="B846" t="s">
        <v>1722</v>
      </c>
      <c r="C846" t="s">
        <v>22</v>
      </c>
      <c r="D846">
        <v>23</v>
      </c>
      <c r="E846" s="20" t="str">
        <f t="shared" si="13"/>
        <v>18-25</v>
      </c>
      <c r="F846" t="s">
        <v>13</v>
      </c>
      <c r="G846">
        <v>2</v>
      </c>
      <c r="H846">
        <v>600.16</v>
      </c>
      <c r="I846" t="s">
        <v>28</v>
      </c>
      <c r="J846" s="1">
        <v>44693</v>
      </c>
      <c r="K846" t="s">
        <v>34</v>
      </c>
    </row>
    <row r="847" spans="1:11" x14ac:dyDescent="0.3">
      <c r="A847" t="s">
        <v>1723</v>
      </c>
      <c r="B847" t="s">
        <v>1724</v>
      </c>
      <c r="C847" t="s">
        <v>12</v>
      </c>
      <c r="D847">
        <v>58</v>
      </c>
      <c r="E847" s="20" t="str">
        <f t="shared" si="13"/>
        <v>46-60</v>
      </c>
      <c r="F847" t="s">
        <v>18</v>
      </c>
      <c r="G847">
        <v>4</v>
      </c>
      <c r="H847">
        <v>162.63999999999999</v>
      </c>
      <c r="I847" t="s">
        <v>28</v>
      </c>
      <c r="J847" s="1">
        <v>44800</v>
      </c>
      <c r="K847" t="s">
        <v>40</v>
      </c>
    </row>
    <row r="848" spans="1:11" x14ac:dyDescent="0.3">
      <c r="A848" t="s">
        <v>1725</v>
      </c>
      <c r="B848" t="s">
        <v>1726</v>
      </c>
      <c r="C848" t="s">
        <v>12</v>
      </c>
      <c r="D848">
        <v>26</v>
      </c>
      <c r="E848" s="20" t="str">
        <f t="shared" si="13"/>
        <v>26-35</v>
      </c>
      <c r="F848" t="s">
        <v>48</v>
      </c>
      <c r="G848">
        <v>2</v>
      </c>
      <c r="H848">
        <v>1200.3399999999999</v>
      </c>
      <c r="I848" t="s">
        <v>14</v>
      </c>
      <c r="J848" s="1">
        <v>44344</v>
      </c>
      <c r="K848" t="s">
        <v>40</v>
      </c>
    </row>
    <row r="849" spans="1:11" x14ac:dyDescent="0.3">
      <c r="A849" t="s">
        <v>1727</v>
      </c>
      <c r="B849" t="s">
        <v>1728</v>
      </c>
      <c r="C849" t="s">
        <v>12</v>
      </c>
      <c r="D849">
        <v>31</v>
      </c>
      <c r="E849" s="20" t="str">
        <f t="shared" si="13"/>
        <v>26-35</v>
      </c>
      <c r="F849" t="s">
        <v>13</v>
      </c>
      <c r="G849">
        <v>1</v>
      </c>
      <c r="H849">
        <v>300.08</v>
      </c>
      <c r="I849" t="s">
        <v>28</v>
      </c>
      <c r="J849" s="1">
        <v>44896</v>
      </c>
      <c r="K849" t="s">
        <v>73</v>
      </c>
    </row>
    <row r="850" spans="1:11" x14ac:dyDescent="0.3">
      <c r="A850" t="s">
        <v>1729</v>
      </c>
      <c r="B850" t="s">
        <v>1730</v>
      </c>
      <c r="C850" t="s">
        <v>12</v>
      </c>
      <c r="D850">
        <v>46</v>
      </c>
      <c r="E850" s="20" t="str">
        <f t="shared" si="13"/>
        <v>46-60</v>
      </c>
      <c r="F850" t="s">
        <v>13</v>
      </c>
      <c r="G850">
        <v>5</v>
      </c>
      <c r="H850">
        <v>1500.4</v>
      </c>
      <c r="I850" t="s">
        <v>28</v>
      </c>
      <c r="J850" s="1">
        <v>44283</v>
      </c>
      <c r="K850" t="s">
        <v>24</v>
      </c>
    </row>
    <row r="851" spans="1:11" x14ac:dyDescent="0.3">
      <c r="A851" t="s">
        <v>1731</v>
      </c>
      <c r="B851" t="s">
        <v>1732</v>
      </c>
      <c r="C851" t="s">
        <v>12</v>
      </c>
      <c r="D851">
        <v>55</v>
      </c>
      <c r="E851" s="20" t="str">
        <f t="shared" si="13"/>
        <v>46-60</v>
      </c>
      <c r="F851" t="s">
        <v>13</v>
      </c>
      <c r="G851">
        <v>1</v>
      </c>
      <c r="H851">
        <v>300.08</v>
      </c>
      <c r="I851" t="s">
        <v>28</v>
      </c>
      <c r="J851" s="1">
        <v>44987</v>
      </c>
      <c r="K851" t="s">
        <v>43</v>
      </c>
    </row>
    <row r="852" spans="1:11" x14ac:dyDescent="0.3">
      <c r="A852" t="s">
        <v>1733</v>
      </c>
      <c r="B852" t="s">
        <v>1734</v>
      </c>
      <c r="C852" t="s">
        <v>12</v>
      </c>
      <c r="D852">
        <v>20</v>
      </c>
      <c r="E852" s="20" t="str">
        <f t="shared" si="13"/>
        <v>18-25</v>
      </c>
      <c r="F852" t="s">
        <v>13</v>
      </c>
      <c r="G852">
        <v>3</v>
      </c>
      <c r="H852">
        <v>900.24</v>
      </c>
      <c r="I852" t="s">
        <v>28</v>
      </c>
      <c r="J852" s="1">
        <v>44975</v>
      </c>
      <c r="K852" t="s">
        <v>53</v>
      </c>
    </row>
    <row r="853" spans="1:11" x14ac:dyDescent="0.3">
      <c r="A853" t="s">
        <v>1735</v>
      </c>
      <c r="B853" t="s">
        <v>1736</v>
      </c>
      <c r="C853" t="s">
        <v>22</v>
      </c>
      <c r="D853">
        <v>50</v>
      </c>
      <c r="E853" s="20" t="str">
        <f t="shared" si="13"/>
        <v>46-60</v>
      </c>
      <c r="F853" t="s">
        <v>13</v>
      </c>
      <c r="G853">
        <v>4</v>
      </c>
      <c r="H853">
        <v>1200.32</v>
      </c>
      <c r="I853" t="s">
        <v>14</v>
      </c>
      <c r="J853" s="1">
        <v>44209</v>
      </c>
      <c r="K853" t="s">
        <v>15</v>
      </c>
    </row>
    <row r="854" spans="1:11" x14ac:dyDescent="0.3">
      <c r="A854" t="s">
        <v>1737</v>
      </c>
      <c r="B854" t="s">
        <v>1738</v>
      </c>
      <c r="C854" t="s">
        <v>12</v>
      </c>
      <c r="D854">
        <v>67</v>
      </c>
      <c r="E854" s="20" t="str">
        <f t="shared" si="13"/>
        <v>60+</v>
      </c>
      <c r="F854" t="s">
        <v>18</v>
      </c>
      <c r="G854">
        <v>3</v>
      </c>
      <c r="H854">
        <v>121.98</v>
      </c>
      <c r="I854" t="s">
        <v>14</v>
      </c>
      <c r="J854" s="1">
        <v>44198</v>
      </c>
      <c r="K854" t="s">
        <v>43</v>
      </c>
    </row>
    <row r="855" spans="1:11" x14ac:dyDescent="0.3">
      <c r="A855" t="s">
        <v>1739</v>
      </c>
      <c r="B855" t="s">
        <v>1740</v>
      </c>
      <c r="C855" t="s">
        <v>12</v>
      </c>
      <c r="D855">
        <v>52</v>
      </c>
      <c r="E855" s="20" t="str">
        <f t="shared" si="13"/>
        <v>46-60</v>
      </c>
      <c r="F855" t="s">
        <v>18</v>
      </c>
      <c r="G855">
        <v>4</v>
      </c>
      <c r="H855">
        <v>162.63999999999999</v>
      </c>
      <c r="I855" t="s">
        <v>28</v>
      </c>
      <c r="J855" s="1">
        <v>44735</v>
      </c>
      <c r="K855" t="s">
        <v>24</v>
      </c>
    </row>
    <row r="856" spans="1:11" x14ac:dyDescent="0.3">
      <c r="A856" t="s">
        <v>1741</v>
      </c>
      <c r="B856" t="s">
        <v>1742</v>
      </c>
      <c r="C856" t="s">
        <v>12</v>
      </c>
      <c r="D856">
        <v>43</v>
      </c>
      <c r="E856" s="20" t="str">
        <f t="shared" si="13"/>
        <v>36-45</v>
      </c>
      <c r="F856" t="s">
        <v>48</v>
      </c>
      <c r="G856">
        <v>2</v>
      </c>
      <c r="H856">
        <v>1200.3399999999999</v>
      </c>
      <c r="I856" t="s">
        <v>28</v>
      </c>
      <c r="J856" s="1">
        <v>44958</v>
      </c>
      <c r="K856" t="s">
        <v>19</v>
      </c>
    </row>
    <row r="857" spans="1:11" x14ac:dyDescent="0.3">
      <c r="A857" t="s">
        <v>1743</v>
      </c>
      <c r="B857" t="s">
        <v>1744</v>
      </c>
      <c r="C857" t="s">
        <v>12</v>
      </c>
      <c r="D857">
        <v>46</v>
      </c>
      <c r="E857" s="20" t="str">
        <f t="shared" si="13"/>
        <v>46-60</v>
      </c>
      <c r="F857" t="s">
        <v>27</v>
      </c>
      <c r="G857">
        <v>1</v>
      </c>
      <c r="H857">
        <v>15.15</v>
      </c>
      <c r="I857" t="s">
        <v>28</v>
      </c>
      <c r="J857" s="1">
        <v>44483</v>
      </c>
      <c r="K857" t="s">
        <v>43</v>
      </c>
    </row>
    <row r="858" spans="1:11" x14ac:dyDescent="0.3">
      <c r="A858" t="s">
        <v>1745</v>
      </c>
      <c r="B858" t="s">
        <v>1746</v>
      </c>
      <c r="C858" t="s">
        <v>22</v>
      </c>
      <c r="D858">
        <v>35</v>
      </c>
      <c r="E858" s="20" t="str">
        <f t="shared" si="13"/>
        <v>26-35</v>
      </c>
      <c r="F858" t="s">
        <v>18</v>
      </c>
      <c r="G858">
        <v>5</v>
      </c>
      <c r="H858">
        <v>203.3</v>
      </c>
      <c r="I858" t="s">
        <v>14</v>
      </c>
      <c r="J858" s="1">
        <v>44521</v>
      </c>
      <c r="K858" t="s">
        <v>40</v>
      </c>
    </row>
    <row r="859" spans="1:11" x14ac:dyDescent="0.3">
      <c r="A859" t="s">
        <v>1747</v>
      </c>
      <c r="B859" t="s">
        <v>1748</v>
      </c>
      <c r="C859" t="s">
        <v>22</v>
      </c>
      <c r="D859">
        <v>67</v>
      </c>
      <c r="E859" s="20" t="str">
        <f t="shared" si="13"/>
        <v>60+</v>
      </c>
      <c r="F859" t="s">
        <v>13</v>
      </c>
      <c r="G859">
        <v>1</v>
      </c>
      <c r="H859">
        <v>300.08</v>
      </c>
      <c r="I859" t="s">
        <v>14</v>
      </c>
      <c r="J859" s="1">
        <v>44423</v>
      </c>
      <c r="K859" t="s">
        <v>60</v>
      </c>
    </row>
    <row r="860" spans="1:11" x14ac:dyDescent="0.3">
      <c r="A860" t="s">
        <v>1749</v>
      </c>
      <c r="B860" t="s">
        <v>1750</v>
      </c>
      <c r="C860" t="s">
        <v>22</v>
      </c>
      <c r="D860">
        <v>33</v>
      </c>
      <c r="E860" s="20" t="str">
        <f t="shared" si="13"/>
        <v>26-35</v>
      </c>
      <c r="F860" t="s">
        <v>13</v>
      </c>
      <c r="G860">
        <v>1</v>
      </c>
      <c r="H860">
        <v>300.08</v>
      </c>
      <c r="I860" t="s">
        <v>14</v>
      </c>
      <c r="J860" s="1">
        <v>44489</v>
      </c>
      <c r="K860" t="s">
        <v>43</v>
      </c>
    </row>
    <row r="861" spans="1:11" x14ac:dyDescent="0.3">
      <c r="A861" t="s">
        <v>1751</v>
      </c>
      <c r="B861" t="s">
        <v>1752</v>
      </c>
      <c r="C861" t="s">
        <v>12</v>
      </c>
      <c r="D861">
        <v>43</v>
      </c>
      <c r="E861" s="20" t="str">
        <f t="shared" si="13"/>
        <v>36-45</v>
      </c>
      <c r="F861" t="s">
        <v>27</v>
      </c>
      <c r="G861">
        <v>5</v>
      </c>
      <c r="H861">
        <v>75.75</v>
      </c>
      <c r="I861" t="s">
        <v>28</v>
      </c>
      <c r="J861" s="1">
        <v>44397</v>
      </c>
      <c r="K861" t="s">
        <v>34</v>
      </c>
    </row>
    <row r="862" spans="1:11" x14ac:dyDescent="0.3">
      <c r="A862" t="s">
        <v>1753</v>
      </c>
      <c r="B862" t="s">
        <v>1754</v>
      </c>
      <c r="C862" t="s">
        <v>12</v>
      </c>
      <c r="D862">
        <v>66</v>
      </c>
      <c r="E862" s="20" t="str">
        <f t="shared" si="13"/>
        <v>60+</v>
      </c>
      <c r="F862" t="s">
        <v>48</v>
      </c>
      <c r="G862">
        <v>5</v>
      </c>
      <c r="H862">
        <v>3000.85</v>
      </c>
      <c r="I862" t="s">
        <v>14</v>
      </c>
      <c r="J862" s="1">
        <v>44564</v>
      </c>
      <c r="K862" t="s">
        <v>24</v>
      </c>
    </row>
    <row r="863" spans="1:11" x14ac:dyDescent="0.3">
      <c r="A863" t="s">
        <v>1755</v>
      </c>
      <c r="B863" t="s">
        <v>1756</v>
      </c>
      <c r="C863" t="s">
        <v>12</v>
      </c>
      <c r="D863">
        <v>40</v>
      </c>
      <c r="E863" s="20" t="str">
        <f t="shared" si="13"/>
        <v>36-45</v>
      </c>
      <c r="F863" t="s">
        <v>13</v>
      </c>
      <c r="G863">
        <v>1</v>
      </c>
      <c r="H863">
        <v>300.08</v>
      </c>
      <c r="I863" t="s">
        <v>28</v>
      </c>
      <c r="J863" s="1">
        <v>44512</v>
      </c>
      <c r="K863" t="s">
        <v>43</v>
      </c>
    </row>
    <row r="864" spans="1:11" x14ac:dyDescent="0.3">
      <c r="A864" t="s">
        <v>1757</v>
      </c>
      <c r="B864" t="s">
        <v>1758</v>
      </c>
      <c r="C864" t="s">
        <v>22</v>
      </c>
      <c r="D864">
        <v>45</v>
      </c>
      <c r="E864" s="20" t="str">
        <f t="shared" si="13"/>
        <v>36-45</v>
      </c>
      <c r="F864" t="s">
        <v>37</v>
      </c>
      <c r="G864">
        <v>2</v>
      </c>
      <c r="H864">
        <v>10.46</v>
      </c>
      <c r="I864" t="s">
        <v>14</v>
      </c>
      <c r="J864" s="1">
        <v>44557</v>
      </c>
      <c r="K864" t="s">
        <v>84</v>
      </c>
    </row>
    <row r="865" spans="1:11" x14ac:dyDescent="0.3">
      <c r="A865" t="s">
        <v>1759</v>
      </c>
      <c r="B865" t="s">
        <v>1760</v>
      </c>
      <c r="C865" t="s">
        <v>12</v>
      </c>
      <c r="D865">
        <v>20</v>
      </c>
      <c r="E865" s="20" t="str">
        <f t="shared" si="13"/>
        <v>18-25</v>
      </c>
      <c r="F865" t="s">
        <v>48</v>
      </c>
      <c r="G865">
        <v>3</v>
      </c>
      <c r="H865">
        <v>1800.51</v>
      </c>
      <c r="I865" t="s">
        <v>28</v>
      </c>
      <c r="J865" s="1">
        <v>44656</v>
      </c>
      <c r="K865" t="s">
        <v>15</v>
      </c>
    </row>
    <row r="866" spans="1:11" x14ac:dyDescent="0.3">
      <c r="A866" t="s">
        <v>1761</v>
      </c>
      <c r="B866" t="s">
        <v>1762</v>
      </c>
      <c r="C866" t="s">
        <v>22</v>
      </c>
      <c r="D866">
        <v>19</v>
      </c>
      <c r="E866" s="20" t="str">
        <f t="shared" si="13"/>
        <v>18-25</v>
      </c>
      <c r="F866" t="s">
        <v>13</v>
      </c>
      <c r="G866">
        <v>1</v>
      </c>
      <c r="H866">
        <v>300.08</v>
      </c>
      <c r="I866" t="s">
        <v>28</v>
      </c>
      <c r="J866" s="1">
        <v>44828</v>
      </c>
      <c r="K866" t="s">
        <v>34</v>
      </c>
    </row>
    <row r="867" spans="1:11" x14ac:dyDescent="0.3">
      <c r="A867" t="s">
        <v>1763</v>
      </c>
      <c r="B867" t="s">
        <v>1764</v>
      </c>
      <c r="C867" t="s">
        <v>22</v>
      </c>
      <c r="D867">
        <v>41</v>
      </c>
      <c r="E867" s="20" t="str">
        <f t="shared" si="13"/>
        <v>36-45</v>
      </c>
      <c r="F867" t="s">
        <v>13</v>
      </c>
      <c r="G867">
        <v>3</v>
      </c>
      <c r="H867">
        <v>900.24</v>
      </c>
      <c r="I867" t="s">
        <v>28</v>
      </c>
      <c r="J867" s="1">
        <v>44892</v>
      </c>
      <c r="K867" t="s">
        <v>43</v>
      </c>
    </row>
    <row r="868" spans="1:11" x14ac:dyDescent="0.3">
      <c r="A868" t="s">
        <v>1765</v>
      </c>
      <c r="B868" t="s">
        <v>1766</v>
      </c>
      <c r="C868" t="s">
        <v>12</v>
      </c>
      <c r="D868">
        <v>59</v>
      </c>
      <c r="E868" s="20" t="str">
        <f t="shared" si="13"/>
        <v>46-60</v>
      </c>
      <c r="F868" t="s">
        <v>18</v>
      </c>
      <c r="G868">
        <v>3</v>
      </c>
      <c r="H868">
        <v>121.98</v>
      </c>
      <c r="I868" t="s">
        <v>23</v>
      </c>
      <c r="J868" s="1">
        <v>44872</v>
      </c>
      <c r="K868" t="s">
        <v>24</v>
      </c>
    </row>
    <row r="869" spans="1:11" x14ac:dyDescent="0.3">
      <c r="A869" t="s">
        <v>1767</v>
      </c>
      <c r="B869" t="s">
        <v>1768</v>
      </c>
      <c r="C869" t="s">
        <v>22</v>
      </c>
      <c r="D869">
        <v>35</v>
      </c>
      <c r="E869" s="20" t="str">
        <f t="shared" si="13"/>
        <v>26-35</v>
      </c>
      <c r="F869" t="s">
        <v>56</v>
      </c>
      <c r="G869">
        <v>3</v>
      </c>
      <c r="H869">
        <v>35.19</v>
      </c>
      <c r="I869" t="s">
        <v>28</v>
      </c>
      <c r="J869" s="1">
        <v>44475</v>
      </c>
      <c r="K869" t="s">
        <v>60</v>
      </c>
    </row>
    <row r="870" spans="1:11" x14ac:dyDescent="0.3">
      <c r="A870" t="s">
        <v>1769</v>
      </c>
      <c r="B870" t="s">
        <v>1770</v>
      </c>
      <c r="C870" t="s">
        <v>22</v>
      </c>
      <c r="D870">
        <v>65</v>
      </c>
      <c r="E870" s="20" t="str">
        <f t="shared" si="13"/>
        <v>60+</v>
      </c>
      <c r="F870" t="s">
        <v>37</v>
      </c>
      <c r="G870">
        <v>2</v>
      </c>
      <c r="H870">
        <v>10.46</v>
      </c>
      <c r="I870" t="s">
        <v>14</v>
      </c>
      <c r="J870" s="1">
        <v>44311</v>
      </c>
      <c r="K870" t="s">
        <v>24</v>
      </c>
    </row>
    <row r="871" spans="1:11" x14ac:dyDescent="0.3">
      <c r="A871" t="s">
        <v>1771</v>
      </c>
      <c r="B871" t="s">
        <v>1772</v>
      </c>
      <c r="C871" t="s">
        <v>22</v>
      </c>
      <c r="D871">
        <v>65</v>
      </c>
      <c r="E871" s="20" t="str">
        <f t="shared" si="13"/>
        <v>60+</v>
      </c>
      <c r="F871" t="s">
        <v>48</v>
      </c>
      <c r="G871">
        <v>5</v>
      </c>
      <c r="H871">
        <v>3000.85</v>
      </c>
      <c r="I871" t="s">
        <v>14</v>
      </c>
      <c r="J871" s="1">
        <v>44396</v>
      </c>
      <c r="K871" t="s">
        <v>24</v>
      </c>
    </row>
    <row r="872" spans="1:11" x14ac:dyDescent="0.3">
      <c r="A872" t="s">
        <v>1773</v>
      </c>
      <c r="B872" t="s">
        <v>1774</v>
      </c>
      <c r="C872" t="s">
        <v>12</v>
      </c>
      <c r="D872">
        <v>54</v>
      </c>
      <c r="E872" s="20" t="str">
        <f t="shared" si="13"/>
        <v>46-60</v>
      </c>
      <c r="F872" t="s">
        <v>13</v>
      </c>
      <c r="G872">
        <v>2</v>
      </c>
      <c r="H872">
        <v>600.16</v>
      </c>
      <c r="I872" t="s">
        <v>23</v>
      </c>
      <c r="J872" s="1">
        <v>44720</v>
      </c>
      <c r="K872" t="s">
        <v>34</v>
      </c>
    </row>
    <row r="873" spans="1:11" x14ac:dyDescent="0.3">
      <c r="A873" t="s">
        <v>1775</v>
      </c>
      <c r="B873" t="s">
        <v>1776</v>
      </c>
      <c r="C873" t="s">
        <v>22</v>
      </c>
      <c r="D873">
        <v>57</v>
      </c>
      <c r="E873" s="20" t="str">
        <f t="shared" si="13"/>
        <v>46-60</v>
      </c>
      <c r="F873" t="s">
        <v>13</v>
      </c>
      <c r="G873">
        <v>4</v>
      </c>
      <c r="H873">
        <v>1200.32</v>
      </c>
      <c r="I873" t="s">
        <v>14</v>
      </c>
      <c r="J873" s="1">
        <v>44221</v>
      </c>
      <c r="K873" t="s">
        <v>24</v>
      </c>
    </row>
    <row r="874" spans="1:11" x14ac:dyDescent="0.3">
      <c r="A874" t="s">
        <v>1777</v>
      </c>
      <c r="B874" t="s">
        <v>1778</v>
      </c>
      <c r="C874" t="s">
        <v>22</v>
      </c>
      <c r="D874">
        <v>40</v>
      </c>
      <c r="E874" s="20" t="str">
        <f t="shared" si="13"/>
        <v>36-45</v>
      </c>
      <c r="F874" t="s">
        <v>31</v>
      </c>
      <c r="G874">
        <v>5</v>
      </c>
      <c r="H874">
        <v>5250</v>
      </c>
      <c r="I874" t="s">
        <v>28</v>
      </c>
      <c r="J874" s="1">
        <v>44845</v>
      </c>
      <c r="K874" t="s">
        <v>24</v>
      </c>
    </row>
    <row r="875" spans="1:11" x14ac:dyDescent="0.3">
      <c r="A875" t="s">
        <v>1779</v>
      </c>
      <c r="B875" t="s">
        <v>1780</v>
      </c>
      <c r="C875" t="s">
        <v>22</v>
      </c>
      <c r="D875">
        <v>27</v>
      </c>
      <c r="E875" s="20" t="str">
        <f t="shared" si="13"/>
        <v>26-35</v>
      </c>
      <c r="F875" t="s">
        <v>48</v>
      </c>
      <c r="G875">
        <v>1</v>
      </c>
      <c r="H875">
        <v>600.16999999999996</v>
      </c>
      <c r="I875" t="s">
        <v>14</v>
      </c>
      <c r="J875" s="1">
        <v>44707</v>
      </c>
      <c r="K875" t="s">
        <v>34</v>
      </c>
    </row>
    <row r="876" spans="1:11" x14ac:dyDescent="0.3">
      <c r="A876" t="s">
        <v>1781</v>
      </c>
      <c r="B876" t="s">
        <v>1782</v>
      </c>
      <c r="C876" t="s">
        <v>22</v>
      </c>
      <c r="D876">
        <v>63</v>
      </c>
      <c r="E876" s="20" t="str">
        <f t="shared" si="13"/>
        <v>60+</v>
      </c>
      <c r="F876" t="s">
        <v>13</v>
      </c>
      <c r="G876">
        <v>3</v>
      </c>
      <c r="H876">
        <v>900.24</v>
      </c>
      <c r="I876" t="s">
        <v>23</v>
      </c>
      <c r="J876" s="1">
        <v>44259</v>
      </c>
      <c r="K876" t="s">
        <v>24</v>
      </c>
    </row>
    <row r="877" spans="1:11" x14ac:dyDescent="0.3">
      <c r="A877" t="s">
        <v>1783</v>
      </c>
      <c r="B877" t="s">
        <v>1784</v>
      </c>
      <c r="C877" t="s">
        <v>12</v>
      </c>
      <c r="D877">
        <v>41</v>
      </c>
      <c r="E877" s="20" t="str">
        <f t="shared" si="13"/>
        <v>36-45</v>
      </c>
      <c r="F877" t="s">
        <v>13</v>
      </c>
      <c r="G877">
        <v>3</v>
      </c>
      <c r="H877">
        <v>900.24</v>
      </c>
      <c r="I877" t="s">
        <v>23</v>
      </c>
      <c r="J877" s="1">
        <v>44854</v>
      </c>
      <c r="K877" t="s">
        <v>84</v>
      </c>
    </row>
    <row r="878" spans="1:11" x14ac:dyDescent="0.3">
      <c r="A878" t="s">
        <v>1785</v>
      </c>
      <c r="B878" t="s">
        <v>1786</v>
      </c>
      <c r="C878" t="s">
        <v>22</v>
      </c>
      <c r="D878">
        <v>27</v>
      </c>
      <c r="E878" s="20" t="str">
        <f t="shared" si="13"/>
        <v>26-35</v>
      </c>
      <c r="F878" t="s">
        <v>59</v>
      </c>
      <c r="G878">
        <v>3</v>
      </c>
      <c r="H878">
        <v>107.52</v>
      </c>
      <c r="I878" t="s">
        <v>28</v>
      </c>
      <c r="J878" s="1">
        <v>44880</v>
      </c>
      <c r="K878" t="s">
        <v>34</v>
      </c>
    </row>
    <row r="879" spans="1:11" x14ac:dyDescent="0.3">
      <c r="A879" t="s">
        <v>1787</v>
      </c>
      <c r="B879" t="s">
        <v>1788</v>
      </c>
      <c r="C879" t="s">
        <v>22</v>
      </c>
      <c r="D879">
        <v>45</v>
      </c>
      <c r="E879" s="20" t="str">
        <f t="shared" si="13"/>
        <v>36-45</v>
      </c>
      <c r="F879" t="s">
        <v>31</v>
      </c>
      <c r="G879">
        <v>1</v>
      </c>
      <c r="H879">
        <v>1050</v>
      </c>
      <c r="I879" t="s">
        <v>14</v>
      </c>
      <c r="J879" s="1">
        <v>44310</v>
      </c>
      <c r="K879" t="s">
        <v>24</v>
      </c>
    </row>
    <row r="880" spans="1:11" x14ac:dyDescent="0.3">
      <c r="A880" t="s">
        <v>1789</v>
      </c>
      <c r="B880" t="s">
        <v>1790</v>
      </c>
      <c r="C880" t="s">
        <v>12</v>
      </c>
      <c r="D880">
        <v>57</v>
      </c>
      <c r="E880" s="20" t="str">
        <f t="shared" si="13"/>
        <v>46-60</v>
      </c>
      <c r="F880" t="s">
        <v>59</v>
      </c>
      <c r="G880">
        <v>3</v>
      </c>
      <c r="H880">
        <v>107.52</v>
      </c>
      <c r="I880" t="s">
        <v>28</v>
      </c>
      <c r="J880" s="1">
        <v>44751</v>
      </c>
      <c r="K880" t="s">
        <v>34</v>
      </c>
    </row>
    <row r="881" spans="1:11" x14ac:dyDescent="0.3">
      <c r="A881" t="s">
        <v>1791</v>
      </c>
      <c r="B881" t="s">
        <v>1792</v>
      </c>
      <c r="C881" t="s">
        <v>22</v>
      </c>
      <c r="D881">
        <v>54</v>
      </c>
      <c r="E881" s="20" t="str">
        <f t="shared" si="13"/>
        <v>46-60</v>
      </c>
      <c r="F881" t="s">
        <v>59</v>
      </c>
      <c r="G881">
        <v>5</v>
      </c>
      <c r="H881">
        <v>179.2</v>
      </c>
      <c r="I881" t="s">
        <v>14</v>
      </c>
      <c r="J881" s="1">
        <v>44820</v>
      </c>
      <c r="K881" t="s">
        <v>34</v>
      </c>
    </row>
    <row r="882" spans="1:11" x14ac:dyDescent="0.3">
      <c r="A882" t="s">
        <v>1793</v>
      </c>
      <c r="B882" t="s">
        <v>1794</v>
      </c>
      <c r="C882" t="s">
        <v>22</v>
      </c>
      <c r="D882">
        <v>66</v>
      </c>
      <c r="E882" s="20" t="str">
        <f t="shared" si="13"/>
        <v>60+</v>
      </c>
      <c r="F882" t="s">
        <v>13</v>
      </c>
      <c r="G882">
        <v>2</v>
      </c>
      <c r="H882">
        <v>600.16</v>
      </c>
      <c r="I882" t="s">
        <v>28</v>
      </c>
      <c r="J882" s="1">
        <v>44934</v>
      </c>
      <c r="K882" t="s">
        <v>73</v>
      </c>
    </row>
    <row r="883" spans="1:11" x14ac:dyDescent="0.3">
      <c r="A883" t="s">
        <v>1795</v>
      </c>
      <c r="B883" t="s">
        <v>1796</v>
      </c>
      <c r="C883" t="s">
        <v>22</v>
      </c>
      <c r="D883">
        <v>44</v>
      </c>
      <c r="E883" s="20" t="str">
        <f t="shared" si="13"/>
        <v>36-45</v>
      </c>
      <c r="F883" t="s">
        <v>13</v>
      </c>
      <c r="G883">
        <v>1</v>
      </c>
      <c r="H883">
        <v>300.08</v>
      </c>
      <c r="I883" t="s">
        <v>28</v>
      </c>
      <c r="J883" s="1">
        <v>44199</v>
      </c>
      <c r="K883" t="s">
        <v>34</v>
      </c>
    </row>
    <row r="884" spans="1:11" x14ac:dyDescent="0.3">
      <c r="A884" t="s">
        <v>1797</v>
      </c>
      <c r="B884" t="s">
        <v>1798</v>
      </c>
      <c r="C884" t="s">
        <v>12</v>
      </c>
      <c r="D884">
        <v>57</v>
      </c>
      <c r="E884" s="20" t="str">
        <f t="shared" si="13"/>
        <v>46-60</v>
      </c>
      <c r="F884" t="s">
        <v>31</v>
      </c>
      <c r="G884">
        <v>4</v>
      </c>
      <c r="H884">
        <v>4200</v>
      </c>
      <c r="I884" t="s">
        <v>14</v>
      </c>
      <c r="J884" s="1">
        <v>44753</v>
      </c>
      <c r="K884" t="s">
        <v>24</v>
      </c>
    </row>
    <row r="885" spans="1:11" x14ac:dyDescent="0.3">
      <c r="A885" t="s">
        <v>1799</v>
      </c>
      <c r="B885" t="s">
        <v>1800</v>
      </c>
      <c r="C885" t="s">
        <v>12</v>
      </c>
      <c r="D885">
        <v>50</v>
      </c>
      <c r="E885" s="20" t="str">
        <f t="shared" si="13"/>
        <v>46-60</v>
      </c>
      <c r="F885" t="s">
        <v>13</v>
      </c>
      <c r="G885">
        <v>5</v>
      </c>
      <c r="H885">
        <v>1500.4</v>
      </c>
      <c r="I885" t="s">
        <v>14</v>
      </c>
      <c r="J885" s="1">
        <v>44463</v>
      </c>
      <c r="K885" t="s">
        <v>40</v>
      </c>
    </row>
    <row r="886" spans="1:11" x14ac:dyDescent="0.3">
      <c r="A886" t="s">
        <v>1801</v>
      </c>
      <c r="B886" t="s">
        <v>1802</v>
      </c>
      <c r="C886" t="s">
        <v>22</v>
      </c>
      <c r="D886">
        <v>48</v>
      </c>
      <c r="E886" s="20" t="str">
        <f t="shared" si="13"/>
        <v>46-60</v>
      </c>
      <c r="F886" t="s">
        <v>13</v>
      </c>
      <c r="G886">
        <v>5</v>
      </c>
      <c r="H886">
        <v>1500.4</v>
      </c>
      <c r="I886" t="s">
        <v>23</v>
      </c>
      <c r="J886" s="1">
        <v>44355</v>
      </c>
      <c r="K886" t="s">
        <v>34</v>
      </c>
    </row>
    <row r="887" spans="1:11" x14ac:dyDescent="0.3">
      <c r="A887" t="s">
        <v>1803</v>
      </c>
      <c r="B887" t="s">
        <v>1804</v>
      </c>
      <c r="C887" t="s">
        <v>22</v>
      </c>
      <c r="D887">
        <v>55</v>
      </c>
      <c r="E887" s="20" t="str">
        <f t="shared" si="13"/>
        <v>46-60</v>
      </c>
      <c r="F887" t="s">
        <v>48</v>
      </c>
      <c r="G887">
        <v>4</v>
      </c>
      <c r="H887">
        <v>2400.6799999999998</v>
      </c>
      <c r="I887" t="s">
        <v>23</v>
      </c>
      <c r="J887" s="1">
        <v>44979</v>
      </c>
      <c r="K887" t="s">
        <v>40</v>
      </c>
    </row>
    <row r="888" spans="1:11" x14ac:dyDescent="0.3">
      <c r="A888" t="s">
        <v>1805</v>
      </c>
      <c r="B888" t="s">
        <v>1806</v>
      </c>
      <c r="C888" t="s">
        <v>22</v>
      </c>
      <c r="D888">
        <v>68</v>
      </c>
      <c r="E888" s="20" t="str">
        <f t="shared" si="13"/>
        <v>60+</v>
      </c>
      <c r="F888" t="s">
        <v>31</v>
      </c>
      <c r="G888">
        <v>3</v>
      </c>
      <c r="H888">
        <v>3150</v>
      </c>
      <c r="I888" t="s">
        <v>14</v>
      </c>
      <c r="J888" s="1">
        <v>44782</v>
      </c>
      <c r="K888" t="s">
        <v>24</v>
      </c>
    </row>
    <row r="889" spans="1:11" x14ac:dyDescent="0.3">
      <c r="A889" t="s">
        <v>1807</v>
      </c>
      <c r="B889" t="s">
        <v>1808</v>
      </c>
      <c r="C889" t="s">
        <v>22</v>
      </c>
      <c r="D889">
        <v>67</v>
      </c>
      <c r="E889" s="20" t="str">
        <f t="shared" si="13"/>
        <v>60+</v>
      </c>
      <c r="F889" t="s">
        <v>31</v>
      </c>
      <c r="G889">
        <v>2</v>
      </c>
      <c r="H889">
        <v>2100</v>
      </c>
      <c r="I889" t="s">
        <v>28</v>
      </c>
      <c r="J889" s="1">
        <v>44832</v>
      </c>
      <c r="K889" t="s">
        <v>34</v>
      </c>
    </row>
    <row r="890" spans="1:11" x14ac:dyDescent="0.3">
      <c r="A890" t="s">
        <v>1809</v>
      </c>
      <c r="B890" t="s">
        <v>1810</v>
      </c>
      <c r="C890" t="s">
        <v>22</v>
      </c>
      <c r="D890">
        <v>58</v>
      </c>
      <c r="E890" s="20" t="str">
        <f t="shared" si="13"/>
        <v>46-60</v>
      </c>
      <c r="F890" t="s">
        <v>48</v>
      </c>
      <c r="G890">
        <v>2</v>
      </c>
      <c r="H890">
        <v>1200.3399999999999</v>
      </c>
      <c r="I890" t="s">
        <v>14</v>
      </c>
      <c r="J890" s="1">
        <v>44452</v>
      </c>
      <c r="K890" t="s">
        <v>15</v>
      </c>
    </row>
    <row r="891" spans="1:11" x14ac:dyDescent="0.3">
      <c r="A891" t="s">
        <v>1811</v>
      </c>
      <c r="B891" t="s">
        <v>1812</v>
      </c>
      <c r="C891" t="s">
        <v>22</v>
      </c>
      <c r="D891">
        <v>35</v>
      </c>
      <c r="E891" s="20" t="str">
        <f t="shared" si="13"/>
        <v>26-35</v>
      </c>
      <c r="F891" t="s">
        <v>37</v>
      </c>
      <c r="G891">
        <v>1</v>
      </c>
      <c r="H891">
        <v>5.23</v>
      </c>
      <c r="I891" t="s">
        <v>14</v>
      </c>
      <c r="J891" s="1">
        <v>44896</v>
      </c>
      <c r="K891" t="s">
        <v>60</v>
      </c>
    </row>
    <row r="892" spans="1:11" x14ac:dyDescent="0.3">
      <c r="A892" t="s">
        <v>1813</v>
      </c>
      <c r="B892" t="s">
        <v>1814</v>
      </c>
      <c r="C892" t="s">
        <v>22</v>
      </c>
      <c r="D892">
        <v>28</v>
      </c>
      <c r="E892" s="20" t="str">
        <f t="shared" si="13"/>
        <v>26-35</v>
      </c>
      <c r="F892" t="s">
        <v>13</v>
      </c>
      <c r="G892">
        <v>2</v>
      </c>
      <c r="H892">
        <v>600.16</v>
      </c>
      <c r="I892" t="s">
        <v>28</v>
      </c>
      <c r="J892" s="1">
        <v>44646</v>
      </c>
      <c r="K892" t="s">
        <v>24</v>
      </c>
    </row>
    <row r="893" spans="1:11" x14ac:dyDescent="0.3">
      <c r="A893" t="s">
        <v>1815</v>
      </c>
      <c r="B893" t="s">
        <v>1816</v>
      </c>
      <c r="C893" t="s">
        <v>22</v>
      </c>
      <c r="D893">
        <v>64</v>
      </c>
      <c r="E893" s="20" t="str">
        <f t="shared" si="13"/>
        <v>60+</v>
      </c>
      <c r="F893" t="s">
        <v>37</v>
      </c>
      <c r="G893">
        <v>1</v>
      </c>
      <c r="H893">
        <v>5.23</v>
      </c>
      <c r="I893" t="s">
        <v>28</v>
      </c>
      <c r="J893" s="1">
        <v>44441</v>
      </c>
      <c r="K893" t="s">
        <v>19</v>
      </c>
    </row>
    <row r="894" spans="1:11" x14ac:dyDescent="0.3">
      <c r="A894" t="s">
        <v>1817</v>
      </c>
      <c r="B894" t="s">
        <v>1818</v>
      </c>
      <c r="C894" t="s">
        <v>22</v>
      </c>
      <c r="D894">
        <v>23</v>
      </c>
      <c r="E894" s="20" t="str">
        <f t="shared" si="13"/>
        <v>18-25</v>
      </c>
      <c r="F894" t="s">
        <v>18</v>
      </c>
      <c r="G894">
        <v>1</v>
      </c>
      <c r="H894">
        <v>40.659999999999997</v>
      </c>
      <c r="I894" t="s">
        <v>14</v>
      </c>
      <c r="J894" s="1">
        <v>44274</v>
      </c>
      <c r="K894" t="s">
        <v>24</v>
      </c>
    </row>
    <row r="895" spans="1:11" x14ac:dyDescent="0.3">
      <c r="A895" t="s">
        <v>1819</v>
      </c>
      <c r="B895" t="s">
        <v>1820</v>
      </c>
      <c r="C895" t="s">
        <v>22</v>
      </c>
      <c r="D895">
        <v>41</v>
      </c>
      <c r="E895" s="20" t="str">
        <f t="shared" si="13"/>
        <v>36-45</v>
      </c>
      <c r="F895" t="s">
        <v>13</v>
      </c>
      <c r="G895">
        <v>3</v>
      </c>
      <c r="H895">
        <v>900.24</v>
      </c>
      <c r="I895" t="s">
        <v>28</v>
      </c>
      <c r="J895" s="1">
        <v>44792</v>
      </c>
      <c r="K895" t="s">
        <v>60</v>
      </c>
    </row>
    <row r="896" spans="1:11" x14ac:dyDescent="0.3">
      <c r="A896" t="s">
        <v>1821</v>
      </c>
      <c r="B896" t="s">
        <v>1822</v>
      </c>
      <c r="C896" t="s">
        <v>12</v>
      </c>
      <c r="D896">
        <v>40</v>
      </c>
      <c r="E896" s="20" t="str">
        <f t="shared" si="13"/>
        <v>36-45</v>
      </c>
      <c r="F896" t="s">
        <v>27</v>
      </c>
      <c r="G896">
        <v>2</v>
      </c>
      <c r="H896">
        <v>30.3</v>
      </c>
      <c r="I896" t="s">
        <v>23</v>
      </c>
      <c r="J896" s="1">
        <v>44203</v>
      </c>
      <c r="K896" t="s">
        <v>15</v>
      </c>
    </row>
    <row r="897" spans="1:11" x14ac:dyDescent="0.3">
      <c r="A897" t="s">
        <v>1823</v>
      </c>
      <c r="B897" t="s">
        <v>1824</v>
      </c>
      <c r="C897" t="s">
        <v>22</v>
      </c>
      <c r="D897">
        <v>20</v>
      </c>
      <c r="E897" s="20" t="str">
        <f t="shared" si="13"/>
        <v>18-25</v>
      </c>
      <c r="F897" t="s">
        <v>18</v>
      </c>
      <c r="G897">
        <v>5</v>
      </c>
      <c r="H897">
        <v>203.3</v>
      </c>
      <c r="I897" t="s">
        <v>28</v>
      </c>
      <c r="J897" s="1">
        <v>44568</v>
      </c>
      <c r="K897" t="s">
        <v>19</v>
      </c>
    </row>
    <row r="898" spans="1:11" x14ac:dyDescent="0.3">
      <c r="A898" t="s">
        <v>1825</v>
      </c>
      <c r="B898" t="s">
        <v>1826</v>
      </c>
      <c r="C898" t="s">
        <v>22</v>
      </c>
      <c r="D898">
        <v>35</v>
      </c>
      <c r="E898" s="20" t="str">
        <f t="shared" si="13"/>
        <v>26-35</v>
      </c>
      <c r="F898" t="s">
        <v>18</v>
      </c>
      <c r="G898">
        <v>1</v>
      </c>
      <c r="H898">
        <v>40.659999999999997</v>
      </c>
      <c r="I898" t="s">
        <v>28</v>
      </c>
      <c r="J898" s="1">
        <v>44931</v>
      </c>
      <c r="K898" t="s">
        <v>43</v>
      </c>
    </row>
    <row r="899" spans="1:11" x14ac:dyDescent="0.3">
      <c r="A899" t="s">
        <v>1827</v>
      </c>
      <c r="B899" t="s">
        <v>1828</v>
      </c>
      <c r="C899" t="s">
        <v>22</v>
      </c>
      <c r="D899">
        <v>22</v>
      </c>
      <c r="E899" s="20" t="str">
        <f t="shared" ref="E899:E962" si="14">IF(D899&lt;18,"Below 18",IF(D899&lt;=25,"18-25",IF(D899&lt;=35,"26-35",IF(D899&lt;=45,"36-45",IF(D899&lt;=60,"46-60","60+")))))</f>
        <v>18-25</v>
      </c>
      <c r="F899" t="s">
        <v>13</v>
      </c>
      <c r="G899">
        <v>4</v>
      </c>
      <c r="H899">
        <v>1200.32</v>
      </c>
      <c r="I899" t="s">
        <v>14</v>
      </c>
      <c r="J899" s="1">
        <v>44506</v>
      </c>
      <c r="K899" t="s">
        <v>34</v>
      </c>
    </row>
    <row r="900" spans="1:11" x14ac:dyDescent="0.3">
      <c r="A900" t="s">
        <v>1829</v>
      </c>
      <c r="B900" t="s">
        <v>1830</v>
      </c>
      <c r="C900" t="s">
        <v>22</v>
      </c>
      <c r="D900">
        <v>51</v>
      </c>
      <c r="E900" s="20" t="str">
        <f t="shared" si="14"/>
        <v>46-60</v>
      </c>
      <c r="F900" t="s">
        <v>56</v>
      </c>
      <c r="G900">
        <v>5</v>
      </c>
      <c r="H900">
        <v>58.65</v>
      </c>
      <c r="I900" t="s">
        <v>14</v>
      </c>
      <c r="J900" s="1">
        <v>44501</v>
      </c>
      <c r="K900" t="s">
        <v>24</v>
      </c>
    </row>
    <row r="901" spans="1:11" x14ac:dyDescent="0.3">
      <c r="A901" t="s">
        <v>1831</v>
      </c>
      <c r="B901" t="s">
        <v>1832</v>
      </c>
      <c r="C901" t="s">
        <v>22</v>
      </c>
      <c r="D901">
        <v>56</v>
      </c>
      <c r="E901" s="20" t="str">
        <f t="shared" si="14"/>
        <v>46-60</v>
      </c>
      <c r="F901" t="s">
        <v>37</v>
      </c>
      <c r="G901">
        <v>1</v>
      </c>
      <c r="H901">
        <v>5.23</v>
      </c>
      <c r="I901" t="s">
        <v>14</v>
      </c>
      <c r="J901" s="1">
        <v>44962</v>
      </c>
      <c r="K901" t="s">
        <v>84</v>
      </c>
    </row>
    <row r="902" spans="1:11" x14ac:dyDescent="0.3">
      <c r="A902" t="s">
        <v>1833</v>
      </c>
      <c r="B902" t="s">
        <v>1834</v>
      </c>
      <c r="C902" t="s">
        <v>22</v>
      </c>
      <c r="D902">
        <v>35</v>
      </c>
      <c r="E902" s="20" t="str">
        <f t="shared" si="14"/>
        <v>26-35</v>
      </c>
      <c r="F902" t="s">
        <v>13</v>
      </c>
      <c r="G902">
        <v>2</v>
      </c>
      <c r="H902">
        <v>600.16</v>
      </c>
      <c r="I902" t="s">
        <v>14</v>
      </c>
      <c r="J902" s="1">
        <v>44741</v>
      </c>
      <c r="K902" t="s">
        <v>15</v>
      </c>
    </row>
    <row r="903" spans="1:11" x14ac:dyDescent="0.3">
      <c r="A903" t="s">
        <v>1835</v>
      </c>
      <c r="B903" t="s">
        <v>1836</v>
      </c>
      <c r="C903" t="s">
        <v>22</v>
      </c>
      <c r="D903">
        <v>21</v>
      </c>
      <c r="E903" s="20" t="str">
        <f t="shared" si="14"/>
        <v>18-25</v>
      </c>
      <c r="F903" t="s">
        <v>13</v>
      </c>
      <c r="G903">
        <v>5</v>
      </c>
      <c r="H903">
        <v>1500.4</v>
      </c>
      <c r="I903" t="s">
        <v>23</v>
      </c>
      <c r="J903" s="1">
        <v>44762</v>
      </c>
      <c r="K903" t="s">
        <v>73</v>
      </c>
    </row>
    <row r="904" spans="1:11" x14ac:dyDescent="0.3">
      <c r="A904" t="s">
        <v>1837</v>
      </c>
      <c r="B904" t="s">
        <v>1838</v>
      </c>
      <c r="C904" t="s">
        <v>12</v>
      </c>
      <c r="D904">
        <v>35</v>
      </c>
      <c r="E904" s="20" t="str">
        <f t="shared" si="14"/>
        <v>26-35</v>
      </c>
      <c r="F904" t="s">
        <v>56</v>
      </c>
      <c r="G904">
        <v>1</v>
      </c>
      <c r="H904">
        <v>11.73</v>
      </c>
      <c r="I904" t="s">
        <v>28</v>
      </c>
      <c r="J904" s="1">
        <v>44759</v>
      </c>
      <c r="K904" t="s">
        <v>43</v>
      </c>
    </row>
    <row r="905" spans="1:11" x14ac:dyDescent="0.3">
      <c r="A905" t="s">
        <v>1839</v>
      </c>
      <c r="B905" t="s">
        <v>1840</v>
      </c>
      <c r="C905" t="s">
        <v>12</v>
      </c>
      <c r="D905">
        <v>52</v>
      </c>
      <c r="E905" s="20" t="str">
        <f t="shared" si="14"/>
        <v>46-60</v>
      </c>
      <c r="F905" t="s">
        <v>18</v>
      </c>
      <c r="G905">
        <v>2</v>
      </c>
      <c r="H905">
        <v>81.319999999999993</v>
      </c>
      <c r="I905" t="s">
        <v>28</v>
      </c>
      <c r="J905" s="1">
        <v>44938</v>
      </c>
      <c r="K905" t="s">
        <v>24</v>
      </c>
    </row>
    <row r="906" spans="1:11" x14ac:dyDescent="0.3">
      <c r="A906" t="s">
        <v>1841</v>
      </c>
      <c r="B906" t="s">
        <v>1842</v>
      </c>
      <c r="C906" t="s">
        <v>12</v>
      </c>
      <c r="D906">
        <v>33</v>
      </c>
      <c r="E906" s="20" t="str">
        <f t="shared" si="14"/>
        <v>26-35</v>
      </c>
      <c r="F906" t="s">
        <v>48</v>
      </c>
      <c r="G906">
        <v>5</v>
      </c>
      <c r="H906">
        <v>3000.85</v>
      </c>
      <c r="I906" t="s">
        <v>23</v>
      </c>
      <c r="J906" s="1">
        <v>44306</v>
      </c>
      <c r="K906" t="s">
        <v>19</v>
      </c>
    </row>
    <row r="907" spans="1:11" x14ac:dyDescent="0.3">
      <c r="A907" t="s">
        <v>1843</v>
      </c>
      <c r="B907" t="s">
        <v>1844</v>
      </c>
      <c r="C907" t="s">
        <v>22</v>
      </c>
      <c r="D907">
        <v>40</v>
      </c>
      <c r="E907" s="20" t="str">
        <f t="shared" si="14"/>
        <v>36-45</v>
      </c>
      <c r="F907" t="s">
        <v>48</v>
      </c>
      <c r="G907">
        <v>1</v>
      </c>
      <c r="H907">
        <v>600.16999999999996</v>
      </c>
      <c r="I907" t="s">
        <v>28</v>
      </c>
      <c r="J907" s="1">
        <v>44563</v>
      </c>
      <c r="K907" t="s">
        <v>19</v>
      </c>
    </row>
    <row r="908" spans="1:11" x14ac:dyDescent="0.3">
      <c r="A908" t="s">
        <v>1845</v>
      </c>
      <c r="B908" t="s">
        <v>1846</v>
      </c>
      <c r="C908" t="s">
        <v>22</v>
      </c>
      <c r="D908">
        <v>69</v>
      </c>
      <c r="E908" s="20" t="str">
        <f t="shared" si="14"/>
        <v>60+</v>
      </c>
      <c r="F908" t="s">
        <v>13</v>
      </c>
      <c r="G908">
        <v>1</v>
      </c>
      <c r="H908">
        <v>300.08</v>
      </c>
      <c r="I908" t="s">
        <v>28</v>
      </c>
      <c r="J908" s="1">
        <v>44682</v>
      </c>
      <c r="K908" t="s">
        <v>34</v>
      </c>
    </row>
    <row r="909" spans="1:11" x14ac:dyDescent="0.3">
      <c r="A909" t="s">
        <v>1847</v>
      </c>
      <c r="B909" t="s">
        <v>1848</v>
      </c>
      <c r="C909" t="s">
        <v>22</v>
      </c>
      <c r="D909">
        <v>22</v>
      </c>
      <c r="E909" s="20" t="str">
        <f t="shared" si="14"/>
        <v>18-25</v>
      </c>
      <c r="F909" t="s">
        <v>56</v>
      </c>
      <c r="G909">
        <v>3</v>
      </c>
      <c r="H909">
        <v>35.19</v>
      </c>
      <c r="I909" t="s">
        <v>23</v>
      </c>
      <c r="J909" s="1">
        <v>44401</v>
      </c>
      <c r="K909" t="s">
        <v>40</v>
      </c>
    </row>
    <row r="910" spans="1:11" x14ac:dyDescent="0.3">
      <c r="A910" t="s">
        <v>1849</v>
      </c>
      <c r="B910" t="s">
        <v>1850</v>
      </c>
      <c r="C910" t="s">
        <v>12</v>
      </c>
      <c r="D910">
        <v>57</v>
      </c>
      <c r="E910" s="20" t="str">
        <f t="shared" si="14"/>
        <v>46-60</v>
      </c>
      <c r="F910" t="s">
        <v>59</v>
      </c>
      <c r="G910">
        <v>1</v>
      </c>
      <c r="H910">
        <v>35.840000000000003</v>
      </c>
      <c r="I910" t="s">
        <v>28</v>
      </c>
      <c r="J910" s="1">
        <v>44208</v>
      </c>
      <c r="K910" t="s">
        <v>15</v>
      </c>
    </row>
    <row r="911" spans="1:11" x14ac:dyDescent="0.3">
      <c r="A911" t="s">
        <v>1851</v>
      </c>
      <c r="B911" t="s">
        <v>1852</v>
      </c>
      <c r="C911" t="s">
        <v>12</v>
      </c>
      <c r="D911">
        <v>53</v>
      </c>
      <c r="E911" s="20" t="str">
        <f t="shared" si="14"/>
        <v>46-60</v>
      </c>
      <c r="F911" t="s">
        <v>37</v>
      </c>
      <c r="G911">
        <v>2</v>
      </c>
      <c r="H911">
        <v>10.46</v>
      </c>
      <c r="I911" t="s">
        <v>14</v>
      </c>
      <c r="J911" s="1">
        <v>44860</v>
      </c>
      <c r="K911" t="s">
        <v>40</v>
      </c>
    </row>
    <row r="912" spans="1:11" x14ac:dyDescent="0.3">
      <c r="A912" t="s">
        <v>1853</v>
      </c>
      <c r="B912" t="s">
        <v>1854</v>
      </c>
      <c r="C912" t="s">
        <v>12</v>
      </c>
      <c r="D912">
        <v>27</v>
      </c>
      <c r="E912" s="20" t="str">
        <f t="shared" si="14"/>
        <v>26-35</v>
      </c>
      <c r="F912" t="s">
        <v>13</v>
      </c>
      <c r="G912">
        <v>5</v>
      </c>
      <c r="H912">
        <v>1500.4</v>
      </c>
      <c r="I912" t="s">
        <v>23</v>
      </c>
      <c r="J912" s="1">
        <v>44877</v>
      </c>
      <c r="K912" t="s">
        <v>84</v>
      </c>
    </row>
    <row r="913" spans="1:11" x14ac:dyDescent="0.3">
      <c r="A913" t="s">
        <v>1855</v>
      </c>
      <c r="B913" t="s">
        <v>1856</v>
      </c>
      <c r="C913" t="s">
        <v>22</v>
      </c>
      <c r="D913">
        <v>65</v>
      </c>
      <c r="E913" s="20" t="str">
        <f t="shared" si="14"/>
        <v>60+</v>
      </c>
      <c r="F913" t="s">
        <v>13</v>
      </c>
      <c r="G913">
        <v>4</v>
      </c>
      <c r="H913">
        <v>1200.32</v>
      </c>
      <c r="I913" t="s">
        <v>14</v>
      </c>
      <c r="J913" s="1">
        <v>44805</v>
      </c>
      <c r="K913" t="s">
        <v>34</v>
      </c>
    </row>
    <row r="914" spans="1:11" x14ac:dyDescent="0.3">
      <c r="A914" t="s">
        <v>1857</v>
      </c>
      <c r="B914" t="s">
        <v>1858</v>
      </c>
      <c r="C914" t="s">
        <v>22</v>
      </c>
      <c r="D914">
        <v>40</v>
      </c>
      <c r="E914" s="20" t="str">
        <f t="shared" si="14"/>
        <v>36-45</v>
      </c>
      <c r="F914" t="s">
        <v>48</v>
      </c>
      <c r="G914">
        <v>2</v>
      </c>
      <c r="H914">
        <v>1200.3399999999999</v>
      </c>
      <c r="I914" t="s">
        <v>14</v>
      </c>
      <c r="J914" s="1">
        <v>44732</v>
      </c>
      <c r="K914" t="s">
        <v>84</v>
      </c>
    </row>
    <row r="915" spans="1:11" x14ac:dyDescent="0.3">
      <c r="A915" t="s">
        <v>1859</v>
      </c>
      <c r="B915" t="s">
        <v>1860</v>
      </c>
      <c r="C915" t="s">
        <v>12</v>
      </c>
      <c r="D915">
        <v>64</v>
      </c>
      <c r="E915" s="20" t="str">
        <f t="shared" si="14"/>
        <v>60+</v>
      </c>
      <c r="F915" t="s">
        <v>27</v>
      </c>
      <c r="G915">
        <v>3</v>
      </c>
      <c r="H915">
        <v>45.45</v>
      </c>
      <c r="I915" t="s">
        <v>23</v>
      </c>
      <c r="J915" s="1">
        <v>44627</v>
      </c>
      <c r="K915" t="s">
        <v>24</v>
      </c>
    </row>
    <row r="916" spans="1:11" x14ac:dyDescent="0.3">
      <c r="A916" t="s">
        <v>1861</v>
      </c>
      <c r="B916" t="s">
        <v>1862</v>
      </c>
      <c r="C916" t="s">
        <v>22</v>
      </c>
      <c r="D916">
        <v>21</v>
      </c>
      <c r="E916" s="20" t="str">
        <f t="shared" si="14"/>
        <v>18-25</v>
      </c>
      <c r="F916" t="s">
        <v>13</v>
      </c>
      <c r="G916">
        <v>3</v>
      </c>
      <c r="H916">
        <v>900.24</v>
      </c>
      <c r="I916" t="s">
        <v>14</v>
      </c>
      <c r="J916" s="1">
        <v>44527</v>
      </c>
      <c r="K916" t="s">
        <v>43</v>
      </c>
    </row>
    <row r="917" spans="1:11" x14ac:dyDescent="0.3">
      <c r="A917" t="s">
        <v>1863</v>
      </c>
      <c r="B917" t="s">
        <v>1864</v>
      </c>
      <c r="C917" t="s">
        <v>22</v>
      </c>
      <c r="D917">
        <v>39</v>
      </c>
      <c r="E917" s="20" t="str">
        <f t="shared" si="14"/>
        <v>36-45</v>
      </c>
      <c r="F917" t="s">
        <v>59</v>
      </c>
      <c r="G917">
        <v>4</v>
      </c>
      <c r="H917">
        <v>143.36000000000001</v>
      </c>
      <c r="I917" t="s">
        <v>23</v>
      </c>
      <c r="J917" s="1">
        <v>44343</v>
      </c>
      <c r="K917" t="s">
        <v>60</v>
      </c>
    </row>
    <row r="918" spans="1:11" x14ac:dyDescent="0.3">
      <c r="A918" t="s">
        <v>1865</v>
      </c>
      <c r="B918" t="s">
        <v>1866</v>
      </c>
      <c r="C918" t="s">
        <v>22</v>
      </c>
      <c r="D918">
        <v>48</v>
      </c>
      <c r="E918" s="20" t="str">
        <f t="shared" si="14"/>
        <v>46-60</v>
      </c>
      <c r="F918" t="s">
        <v>37</v>
      </c>
      <c r="G918">
        <v>5</v>
      </c>
      <c r="H918">
        <v>26.15</v>
      </c>
      <c r="I918" t="s">
        <v>14</v>
      </c>
      <c r="J918" s="1">
        <v>44501</v>
      </c>
      <c r="K918" t="s">
        <v>34</v>
      </c>
    </row>
    <row r="919" spans="1:11" x14ac:dyDescent="0.3">
      <c r="A919" t="s">
        <v>1867</v>
      </c>
      <c r="B919" t="s">
        <v>1868</v>
      </c>
      <c r="C919" t="s">
        <v>22</v>
      </c>
      <c r="D919">
        <v>41</v>
      </c>
      <c r="E919" s="20" t="str">
        <f t="shared" si="14"/>
        <v>36-45</v>
      </c>
      <c r="F919" t="s">
        <v>56</v>
      </c>
      <c r="G919">
        <v>4</v>
      </c>
      <c r="H919">
        <v>46.92</v>
      </c>
      <c r="I919" t="s">
        <v>14</v>
      </c>
      <c r="J919" s="1">
        <v>44990</v>
      </c>
      <c r="K919" t="s">
        <v>34</v>
      </c>
    </row>
    <row r="920" spans="1:11" x14ac:dyDescent="0.3">
      <c r="A920" t="s">
        <v>1869</v>
      </c>
      <c r="B920" t="s">
        <v>1870</v>
      </c>
      <c r="C920" t="s">
        <v>12</v>
      </c>
      <c r="D920">
        <v>51</v>
      </c>
      <c r="E920" s="20" t="str">
        <f t="shared" si="14"/>
        <v>46-60</v>
      </c>
      <c r="F920" t="s">
        <v>56</v>
      </c>
      <c r="G920">
        <v>3</v>
      </c>
      <c r="H920">
        <v>35.19</v>
      </c>
      <c r="I920" t="s">
        <v>23</v>
      </c>
      <c r="J920" s="1">
        <v>44629</v>
      </c>
      <c r="K920" t="s">
        <v>43</v>
      </c>
    </row>
    <row r="921" spans="1:11" x14ac:dyDescent="0.3">
      <c r="A921" t="s">
        <v>1871</v>
      </c>
      <c r="B921" t="s">
        <v>1872</v>
      </c>
      <c r="C921" t="s">
        <v>22</v>
      </c>
      <c r="D921">
        <v>59</v>
      </c>
      <c r="E921" s="20" t="str">
        <f t="shared" si="14"/>
        <v>46-60</v>
      </c>
      <c r="F921" t="s">
        <v>48</v>
      </c>
      <c r="G921">
        <v>1</v>
      </c>
      <c r="H921">
        <v>600.16999999999996</v>
      </c>
      <c r="I921" t="s">
        <v>23</v>
      </c>
      <c r="J921" s="1">
        <v>44209</v>
      </c>
      <c r="K921" t="s">
        <v>43</v>
      </c>
    </row>
    <row r="922" spans="1:11" x14ac:dyDescent="0.3">
      <c r="A922" t="s">
        <v>1873</v>
      </c>
      <c r="B922" t="s">
        <v>1874</v>
      </c>
      <c r="C922" t="s">
        <v>22</v>
      </c>
      <c r="D922">
        <v>69</v>
      </c>
      <c r="E922" s="20" t="str">
        <f t="shared" si="14"/>
        <v>60+</v>
      </c>
      <c r="F922" t="s">
        <v>13</v>
      </c>
      <c r="G922">
        <v>4</v>
      </c>
      <c r="H922">
        <v>1200.32</v>
      </c>
      <c r="I922" t="s">
        <v>28</v>
      </c>
      <c r="J922" s="1">
        <v>44259</v>
      </c>
      <c r="K922" t="s">
        <v>24</v>
      </c>
    </row>
    <row r="923" spans="1:11" x14ac:dyDescent="0.3">
      <c r="A923" t="s">
        <v>1875</v>
      </c>
      <c r="B923" t="s">
        <v>1876</v>
      </c>
      <c r="C923" t="s">
        <v>22</v>
      </c>
      <c r="D923">
        <v>19</v>
      </c>
      <c r="E923" s="20" t="str">
        <f t="shared" si="14"/>
        <v>18-25</v>
      </c>
      <c r="F923" t="s">
        <v>13</v>
      </c>
      <c r="G923">
        <v>2</v>
      </c>
      <c r="H923">
        <v>600.16</v>
      </c>
      <c r="I923" t="s">
        <v>14</v>
      </c>
      <c r="J923" s="1">
        <v>44849</v>
      </c>
      <c r="K923" t="s">
        <v>84</v>
      </c>
    </row>
    <row r="924" spans="1:11" x14ac:dyDescent="0.3">
      <c r="A924" t="s">
        <v>1877</v>
      </c>
      <c r="B924" t="s">
        <v>1878</v>
      </c>
      <c r="C924" t="s">
        <v>22</v>
      </c>
      <c r="D924">
        <v>25</v>
      </c>
      <c r="E924" s="20" t="str">
        <f t="shared" si="14"/>
        <v>18-25</v>
      </c>
      <c r="F924" t="s">
        <v>59</v>
      </c>
      <c r="G924">
        <v>4</v>
      </c>
      <c r="H924">
        <v>143.36000000000001</v>
      </c>
      <c r="I924" t="s">
        <v>28</v>
      </c>
      <c r="J924" s="1">
        <v>44797</v>
      </c>
      <c r="K924" t="s">
        <v>24</v>
      </c>
    </row>
    <row r="925" spans="1:11" x14ac:dyDescent="0.3">
      <c r="A925" t="s">
        <v>1879</v>
      </c>
      <c r="B925" t="s">
        <v>1880</v>
      </c>
      <c r="C925" t="s">
        <v>22</v>
      </c>
      <c r="D925">
        <v>18</v>
      </c>
      <c r="E925" s="20" t="str">
        <f t="shared" si="14"/>
        <v>18-25</v>
      </c>
      <c r="F925" t="s">
        <v>18</v>
      </c>
      <c r="G925">
        <v>3</v>
      </c>
      <c r="H925">
        <v>121.98</v>
      </c>
      <c r="I925" t="s">
        <v>28</v>
      </c>
      <c r="J925" s="1">
        <v>44984</v>
      </c>
      <c r="K925" t="s">
        <v>24</v>
      </c>
    </row>
    <row r="926" spans="1:11" x14ac:dyDescent="0.3">
      <c r="A926" t="s">
        <v>1881</v>
      </c>
      <c r="B926" t="s">
        <v>1882</v>
      </c>
      <c r="C926" t="s">
        <v>22</v>
      </c>
      <c r="D926">
        <v>29</v>
      </c>
      <c r="E926" s="20" t="str">
        <f t="shared" si="14"/>
        <v>26-35</v>
      </c>
      <c r="F926" t="s">
        <v>59</v>
      </c>
      <c r="G926">
        <v>4</v>
      </c>
      <c r="H926">
        <v>143.36000000000001</v>
      </c>
      <c r="I926" t="s">
        <v>14</v>
      </c>
      <c r="J926" s="1">
        <v>44890</v>
      </c>
      <c r="K926" t="s">
        <v>60</v>
      </c>
    </row>
    <row r="927" spans="1:11" x14ac:dyDescent="0.3">
      <c r="A927" t="s">
        <v>1883</v>
      </c>
      <c r="B927" t="s">
        <v>1884</v>
      </c>
      <c r="C927" t="s">
        <v>22</v>
      </c>
      <c r="D927">
        <v>26</v>
      </c>
      <c r="E927" s="20" t="str">
        <f t="shared" si="14"/>
        <v>26-35</v>
      </c>
      <c r="F927" t="s">
        <v>37</v>
      </c>
      <c r="G927">
        <v>4</v>
      </c>
      <c r="H927">
        <v>20.92</v>
      </c>
      <c r="I927" t="s">
        <v>23</v>
      </c>
      <c r="J927" s="1">
        <v>44807</v>
      </c>
      <c r="K927" t="s">
        <v>73</v>
      </c>
    </row>
    <row r="928" spans="1:11" x14ac:dyDescent="0.3">
      <c r="A928" t="s">
        <v>1885</v>
      </c>
      <c r="B928" t="s">
        <v>1886</v>
      </c>
      <c r="C928" t="s">
        <v>22</v>
      </c>
      <c r="D928">
        <v>50</v>
      </c>
      <c r="E928" s="20" t="str">
        <f t="shared" si="14"/>
        <v>46-60</v>
      </c>
      <c r="F928" t="s">
        <v>13</v>
      </c>
      <c r="G928">
        <v>2</v>
      </c>
      <c r="H928">
        <v>600.16</v>
      </c>
      <c r="I928" t="s">
        <v>14</v>
      </c>
      <c r="J928" s="1">
        <v>44460</v>
      </c>
      <c r="K928" t="s">
        <v>24</v>
      </c>
    </row>
    <row r="929" spans="1:11" x14ac:dyDescent="0.3">
      <c r="A929" t="s">
        <v>1887</v>
      </c>
      <c r="B929" t="s">
        <v>1888</v>
      </c>
      <c r="C929" t="s">
        <v>22</v>
      </c>
      <c r="D929">
        <v>22</v>
      </c>
      <c r="E929" s="20" t="str">
        <f t="shared" si="14"/>
        <v>18-25</v>
      </c>
      <c r="F929" t="s">
        <v>37</v>
      </c>
      <c r="G929">
        <v>5</v>
      </c>
      <c r="H929">
        <v>26.15</v>
      </c>
      <c r="I929" t="s">
        <v>14</v>
      </c>
      <c r="J929" s="1">
        <v>44477</v>
      </c>
      <c r="K929" t="s">
        <v>43</v>
      </c>
    </row>
    <row r="930" spans="1:11" x14ac:dyDescent="0.3">
      <c r="A930" t="s">
        <v>1889</v>
      </c>
      <c r="B930" t="s">
        <v>1890</v>
      </c>
      <c r="C930" t="s">
        <v>22</v>
      </c>
      <c r="D930">
        <v>45</v>
      </c>
      <c r="E930" s="20" t="str">
        <f t="shared" si="14"/>
        <v>36-45</v>
      </c>
      <c r="F930" t="s">
        <v>59</v>
      </c>
      <c r="G930">
        <v>5</v>
      </c>
      <c r="H930">
        <v>179.2</v>
      </c>
      <c r="I930" t="s">
        <v>28</v>
      </c>
      <c r="J930" s="1">
        <v>44277</v>
      </c>
      <c r="K930" t="s">
        <v>34</v>
      </c>
    </row>
    <row r="931" spans="1:11" x14ac:dyDescent="0.3">
      <c r="A931" t="s">
        <v>1891</v>
      </c>
      <c r="B931" t="s">
        <v>1892</v>
      </c>
      <c r="C931" t="s">
        <v>12</v>
      </c>
      <c r="D931">
        <v>42</v>
      </c>
      <c r="E931" s="20" t="str">
        <f t="shared" si="14"/>
        <v>36-45</v>
      </c>
      <c r="F931" t="s">
        <v>37</v>
      </c>
      <c r="G931">
        <v>5</v>
      </c>
      <c r="H931">
        <v>26.15</v>
      </c>
      <c r="I931" t="s">
        <v>14</v>
      </c>
      <c r="J931" s="1">
        <v>44795</v>
      </c>
      <c r="K931" t="s">
        <v>43</v>
      </c>
    </row>
    <row r="932" spans="1:11" x14ac:dyDescent="0.3">
      <c r="A932" t="s">
        <v>1893</v>
      </c>
      <c r="B932" t="s">
        <v>1894</v>
      </c>
      <c r="C932" t="s">
        <v>22</v>
      </c>
      <c r="D932">
        <v>60</v>
      </c>
      <c r="E932" s="20" t="str">
        <f t="shared" si="14"/>
        <v>46-60</v>
      </c>
      <c r="F932" t="s">
        <v>13</v>
      </c>
      <c r="G932">
        <v>1</v>
      </c>
      <c r="H932">
        <v>300.08</v>
      </c>
      <c r="I932" t="s">
        <v>28</v>
      </c>
      <c r="J932" s="1">
        <v>44749</v>
      </c>
      <c r="K932" t="s">
        <v>53</v>
      </c>
    </row>
    <row r="933" spans="1:11" x14ac:dyDescent="0.3">
      <c r="A933" t="s">
        <v>1895</v>
      </c>
      <c r="B933" t="s">
        <v>1896</v>
      </c>
      <c r="C933" t="s">
        <v>12</v>
      </c>
      <c r="D933">
        <v>66</v>
      </c>
      <c r="E933" s="20" t="str">
        <f t="shared" si="14"/>
        <v>60+</v>
      </c>
      <c r="F933" t="s">
        <v>18</v>
      </c>
      <c r="G933">
        <v>5</v>
      </c>
      <c r="H933">
        <v>203.3</v>
      </c>
      <c r="I933" t="s">
        <v>28</v>
      </c>
      <c r="J933" s="1">
        <v>44776</v>
      </c>
      <c r="K933" t="s">
        <v>43</v>
      </c>
    </row>
    <row r="934" spans="1:11" x14ac:dyDescent="0.3">
      <c r="A934" t="s">
        <v>1897</v>
      </c>
      <c r="B934" t="s">
        <v>1898</v>
      </c>
      <c r="C934" t="s">
        <v>12</v>
      </c>
      <c r="D934">
        <v>58</v>
      </c>
      <c r="E934" s="20" t="str">
        <f t="shared" si="14"/>
        <v>46-60</v>
      </c>
      <c r="F934" t="s">
        <v>59</v>
      </c>
      <c r="G934">
        <v>1</v>
      </c>
      <c r="H934">
        <v>35.840000000000003</v>
      </c>
      <c r="I934" t="s">
        <v>14</v>
      </c>
      <c r="J934" s="1">
        <v>44893</v>
      </c>
      <c r="K934" t="s">
        <v>19</v>
      </c>
    </row>
    <row r="935" spans="1:11" x14ac:dyDescent="0.3">
      <c r="A935" t="s">
        <v>1899</v>
      </c>
      <c r="B935" t="s">
        <v>1900</v>
      </c>
      <c r="C935" t="s">
        <v>22</v>
      </c>
      <c r="D935">
        <v>42</v>
      </c>
      <c r="E935" s="20" t="str">
        <f t="shared" si="14"/>
        <v>36-45</v>
      </c>
      <c r="F935" t="s">
        <v>37</v>
      </c>
      <c r="G935">
        <v>5</v>
      </c>
      <c r="H935">
        <v>26.15</v>
      </c>
      <c r="I935" t="s">
        <v>28</v>
      </c>
      <c r="J935" s="1">
        <v>44507</v>
      </c>
      <c r="K935" t="s">
        <v>43</v>
      </c>
    </row>
    <row r="936" spans="1:11" x14ac:dyDescent="0.3">
      <c r="A936" t="s">
        <v>1901</v>
      </c>
      <c r="B936" t="s">
        <v>1902</v>
      </c>
      <c r="C936" t="s">
        <v>22</v>
      </c>
      <c r="D936">
        <v>20</v>
      </c>
      <c r="E936" s="20" t="str">
        <f t="shared" si="14"/>
        <v>18-25</v>
      </c>
      <c r="F936" t="s">
        <v>59</v>
      </c>
      <c r="G936">
        <v>3</v>
      </c>
      <c r="H936">
        <v>107.52</v>
      </c>
      <c r="I936" t="s">
        <v>14</v>
      </c>
      <c r="J936" s="1">
        <v>44485</v>
      </c>
      <c r="K936" t="s">
        <v>43</v>
      </c>
    </row>
    <row r="937" spans="1:11" x14ac:dyDescent="0.3">
      <c r="A937" t="s">
        <v>1903</v>
      </c>
      <c r="B937" t="s">
        <v>1904</v>
      </c>
      <c r="C937" t="s">
        <v>12</v>
      </c>
      <c r="D937">
        <v>59</v>
      </c>
      <c r="E937" s="20" t="str">
        <f t="shared" si="14"/>
        <v>46-60</v>
      </c>
      <c r="F937" t="s">
        <v>13</v>
      </c>
      <c r="G937">
        <v>3</v>
      </c>
      <c r="H937">
        <v>900.24</v>
      </c>
      <c r="I937" t="s">
        <v>23</v>
      </c>
      <c r="J937" s="1">
        <v>44288</v>
      </c>
      <c r="K937" t="s">
        <v>34</v>
      </c>
    </row>
    <row r="938" spans="1:11" x14ac:dyDescent="0.3">
      <c r="A938" t="s">
        <v>1905</v>
      </c>
      <c r="B938" t="s">
        <v>1906</v>
      </c>
      <c r="C938" t="s">
        <v>12</v>
      </c>
      <c r="D938">
        <v>63</v>
      </c>
      <c r="E938" s="20" t="str">
        <f t="shared" si="14"/>
        <v>60+</v>
      </c>
      <c r="F938" t="s">
        <v>59</v>
      </c>
      <c r="G938">
        <v>4</v>
      </c>
      <c r="H938">
        <v>143.36000000000001</v>
      </c>
      <c r="I938" t="s">
        <v>23</v>
      </c>
      <c r="J938" s="1">
        <v>44825</v>
      </c>
      <c r="K938" t="s">
        <v>60</v>
      </c>
    </row>
    <row r="939" spans="1:11" x14ac:dyDescent="0.3">
      <c r="A939" t="s">
        <v>1907</v>
      </c>
      <c r="B939" t="s">
        <v>1908</v>
      </c>
      <c r="C939" t="s">
        <v>22</v>
      </c>
      <c r="D939">
        <v>27</v>
      </c>
      <c r="E939" s="20" t="str">
        <f t="shared" si="14"/>
        <v>26-35</v>
      </c>
      <c r="F939" t="s">
        <v>18</v>
      </c>
      <c r="G939">
        <v>5</v>
      </c>
      <c r="H939">
        <v>203.3</v>
      </c>
      <c r="I939" t="s">
        <v>28</v>
      </c>
      <c r="J939" s="1">
        <v>44939</v>
      </c>
      <c r="K939" t="s">
        <v>34</v>
      </c>
    </row>
    <row r="940" spans="1:11" x14ac:dyDescent="0.3">
      <c r="A940" t="s">
        <v>1909</v>
      </c>
      <c r="B940" t="s">
        <v>1910</v>
      </c>
      <c r="C940" t="s">
        <v>22</v>
      </c>
      <c r="D940">
        <v>60</v>
      </c>
      <c r="E940" s="20" t="str">
        <f t="shared" si="14"/>
        <v>46-60</v>
      </c>
      <c r="F940" t="s">
        <v>37</v>
      </c>
      <c r="G940">
        <v>1</v>
      </c>
      <c r="H940">
        <v>5.23</v>
      </c>
      <c r="I940" t="s">
        <v>14</v>
      </c>
      <c r="J940" s="1">
        <v>44779</v>
      </c>
      <c r="K940" t="s">
        <v>73</v>
      </c>
    </row>
    <row r="941" spans="1:11" x14ac:dyDescent="0.3">
      <c r="A941" t="s">
        <v>1911</v>
      </c>
      <c r="B941" t="s">
        <v>1912</v>
      </c>
      <c r="C941" t="s">
        <v>12</v>
      </c>
      <c r="D941">
        <v>60</v>
      </c>
      <c r="E941" s="20" t="str">
        <f t="shared" si="14"/>
        <v>46-60</v>
      </c>
      <c r="F941" t="s">
        <v>18</v>
      </c>
      <c r="G941">
        <v>1</v>
      </c>
      <c r="H941">
        <v>40.659999999999997</v>
      </c>
      <c r="I941" t="s">
        <v>28</v>
      </c>
      <c r="J941" s="1">
        <v>44259</v>
      </c>
      <c r="K941" t="s">
        <v>24</v>
      </c>
    </row>
    <row r="942" spans="1:11" x14ac:dyDescent="0.3">
      <c r="A942" t="s">
        <v>1913</v>
      </c>
      <c r="B942" t="s">
        <v>1914</v>
      </c>
      <c r="C942" t="s">
        <v>12</v>
      </c>
      <c r="D942">
        <v>26</v>
      </c>
      <c r="E942" s="20" t="str">
        <f t="shared" si="14"/>
        <v>26-35</v>
      </c>
      <c r="F942" t="s">
        <v>48</v>
      </c>
      <c r="G942">
        <v>5</v>
      </c>
      <c r="H942">
        <v>3000.85</v>
      </c>
      <c r="I942" t="s">
        <v>23</v>
      </c>
      <c r="J942" s="1">
        <v>44699</v>
      </c>
      <c r="K942" t="s">
        <v>24</v>
      </c>
    </row>
    <row r="943" spans="1:11" x14ac:dyDescent="0.3">
      <c r="A943" t="s">
        <v>1915</v>
      </c>
      <c r="B943" t="s">
        <v>1916</v>
      </c>
      <c r="C943" t="s">
        <v>22</v>
      </c>
      <c r="D943">
        <v>59</v>
      </c>
      <c r="E943" s="20" t="str">
        <f t="shared" si="14"/>
        <v>46-60</v>
      </c>
      <c r="F943" t="s">
        <v>18</v>
      </c>
      <c r="G943">
        <v>1</v>
      </c>
      <c r="H943">
        <v>40.659999999999997</v>
      </c>
      <c r="I943" t="s">
        <v>14</v>
      </c>
      <c r="J943" s="1">
        <v>44363</v>
      </c>
      <c r="K943" t="s">
        <v>24</v>
      </c>
    </row>
    <row r="944" spans="1:11" x14ac:dyDescent="0.3">
      <c r="A944" t="s">
        <v>1917</v>
      </c>
      <c r="B944" t="s">
        <v>1918</v>
      </c>
      <c r="C944" t="s">
        <v>22</v>
      </c>
      <c r="D944">
        <v>28</v>
      </c>
      <c r="E944" s="20" t="str">
        <f t="shared" si="14"/>
        <v>26-35</v>
      </c>
      <c r="F944" t="s">
        <v>13</v>
      </c>
      <c r="G944">
        <v>5</v>
      </c>
      <c r="H944">
        <v>1500.4</v>
      </c>
      <c r="I944" t="s">
        <v>28</v>
      </c>
      <c r="J944" s="1">
        <v>44682</v>
      </c>
      <c r="K944" t="s">
        <v>34</v>
      </c>
    </row>
    <row r="945" spans="1:11" x14ac:dyDescent="0.3">
      <c r="A945" t="s">
        <v>1919</v>
      </c>
      <c r="B945" t="s">
        <v>1920</v>
      </c>
      <c r="C945" t="s">
        <v>22</v>
      </c>
      <c r="D945">
        <v>45</v>
      </c>
      <c r="E945" s="20" t="str">
        <f t="shared" si="14"/>
        <v>36-45</v>
      </c>
      <c r="F945" t="s">
        <v>18</v>
      </c>
      <c r="G945">
        <v>2</v>
      </c>
      <c r="H945">
        <v>81.319999999999993</v>
      </c>
      <c r="I945" t="s">
        <v>14</v>
      </c>
      <c r="J945" s="1">
        <v>44695</v>
      </c>
      <c r="K945" t="s">
        <v>34</v>
      </c>
    </row>
    <row r="946" spans="1:11" x14ac:dyDescent="0.3">
      <c r="A946" t="s">
        <v>1921</v>
      </c>
      <c r="B946" t="s">
        <v>1922</v>
      </c>
      <c r="C946" t="s">
        <v>12</v>
      </c>
      <c r="D946">
        <v>33</v>
      </c>
      <c r="E946" s="20" t="str">
        <f t="shared" si="14"/>
        <v>26-35</v>
      </c>
      <c r="F946" t="s">
        <v>18</v>
      </c>
      <c r="G946">
        <v>2</v>
      </c>
      <c r="H946">
        <v>81.319999999999993</v>
      </c>
      <c r="I946" t="s">
        <v>14</v>
      </c>
      <c r="J946" s="1">
        <v>44533</v>
      </c>
      <c r="K946" t="s">
        <v>53</v>
      </c>
    </row>
    <row r="947" spans="1:11" x14ac:dyDescent="0.3">
      <c r="A947" t="s">
        <v>1923</v>
      </c>
      <c r="B947" t="s">
        <v>1924</v>
      </c>
      <c r="C947" t="s">
        <v>22</v>
      </c>
      <c r="D947">
        <v>34</v>
      </c>
      <c r="E947" s="20" t="str">
        <f t="shared" si="14"/>
        <v>26-35</v>
      </c>
      <c r="F947" t="s">
        <v>13</v>
      </c>
      <c r="G947">
        <v>1</v>
      </c>
      <c r="H947">
        <v>300.08</v>
      </c>
      <c r="I947" t="s">
        <v>14</v>
      </c>
      <c r="J947" s="1">
        <v>44737</v>
      </c>
      <c r="K947" t="s">
        <v>34</v>
      </c>
    </row>
    <row r="948" spans="1:11" x14ac:dyDescent="0.3">
      <c r="A948" t="s">
        <v>1925</v>
      </c>
      <c r="B948" t="s">
        <v>1926</v>
      </c>
      <c r="C948" t="s">
        <v>22</v>
      </c>
      <c r="D948">
        <v>62</v>
      </c>
      <c r="E948" s="20" t="str">
        <f t="shared" si="14"/>
        <v>60+</v>
      </c>
      <c r="F948" t="s">
        <v>13</v>
      </c>
      <c r="G948">
        <v>3</v>
      </c>
      <c r="H948">
        <v>900.24</v>
      </c>
      <c r="I948" t="s">
        <v>14</v>
      </c>
      <c r="J948" s="1">
        <v>44895</v>
      </c>
      <c r="K948" t="s">
        <v>19</v>
      </c>
    </row>
    <row r="949" spans="1:11" x14ac:dyDescent="0.3">
      <c r="A949" t="s">
        <v>1927</v>
      </c>
      <c r="B949" t="s">
        <v>1928</v>
      </c>
      <c r="C949" t="s">
        <v>12</v>
      </c>
      <c r="D949">
        <v>30</v>
      </c>
      <c r="E949" s="20" t="str">
        <f t="shared" si="14"/>
        <v>26-35</v>
      </c>
      <c r="F949" t="s">
        <v>37</v>
      </c>
      <c r="G949">
        <v>4</v>
      </c>
      <c r="H949">
        <v>20.92</v>
      </c>
      <c r="I949" t="s">
        <v>14</v>
      </c>
      <c r="J949" s="1">
        <v>44233</v>
      </c>
      <c r="K949" t="s">
        <v>24</v>
      </c>
    </row>
    <row r="950" spans="1:11" x14ac:dyDescent="0.3">
      <c r="A950" t="s">
        <v>1929</v>
      </c>
      <c r="B950" t="s">
        <v>1930</v>
      </c>
      <c r="C950" t="s">
        <v>22</v>
      </c>
      <c r="D950">
        <v>54</v>
      </c>
      <c r="E950" s="20" t="str">
        <f t="shared" si="14"/>
        <v>46-60</v>
      </c>
      <c r="F950" t="s">
        <v>13</v>
      </c>
      <c r="G950">
        <v>3</v>
      </c>
      <c r="H950">
        <v>900.24</v>
      </c>
      <c r="I950" t="s">
        <v>28</v>
      </c>
      <c r="J950" s="1">
        <v>44867</v>
      </c>
      <c r="K950" t="s">
        <v>84</v>
      </c>
    </row>
    <row r="951" spans="1:11" x14ac:dyDescent="0.3">
      <c r="A951" t="s">
        <v>1931</v>
      </c>
      <c r="B951" t="s">
        <v>1932</v>
      </c>
      <c r="C951" t="s">
        <v>22</v>
      </c>
      <c r="D951">
        <v>34</v>
      </c>
      <c r="E951" s="20" t="str">
        <f t="shared" si="14"/>
        <v>26-35</v>
      </c>
      <c r="F951" t="s">
        <v>31</v>
      </c>
      <c r="G951">
        <v>3</v>
      </c>
      <c r="H951">
        <v>3150</v>
      </c>
      <c r="I951" t="s">
        <v>28</v>
      </c>
      <c r="J951" s="1">
        <v>44221</v>
      </c>
      <c r="K951" t="s">
        <v>24</v>
      </c>
    </row>
    <row r="952" spans="1:11" x14ac:dyDescent="0.3">
      <c r="A952" t="s">
        <v>1933</v>
      </c>
      <c r="B952" t="s">
        <v>1934</v>
      </c>
      <c r="C952" t="s">
        <v>22</v>
      </c>
      <c r="D952">
        <v>69</v>
      </c>
      <c r="E952" s="20" t="str">
        <f t="shared" si="14"/>
        <v>60+</v>
      </c>
      <c r="F952" t="s">
        <v>48</v>
      </c>
      <c r="G952">
        <v>2</v>
      </c>
      <c r="H952">
        <v>1200.3399999999999</v>
      </c>
      <c r="I952" t="s">
        <v>14</v>
      </c>
      <c r="J952" s="1">
        <v>44309</v>
      </c>
      <c r="K952" t="s">
        <v>19</v>
      </c>
    </row>
    <row r="953" spans="1:11" x14ac:dyDescent="0.3">
      <c r="A953" t="s">
        <v>1935</v>
      </c>
      <c r="B953" t="s">
        <v>1936</v>
      </c>
      <c r="C953" t="s">
        <v>22</v>
      </c>
      <c r="D953">
        <v>62</v>
      </c>
      <c r="E953" s="20" t="str">
        <f t="shared" si="14"/>
        <v>60+</v>
      </c>
      <c r="F953" t="s">
        <v>18</v>
      </c>
      <c r="G953">
        <v>2</v>
      </c>
      <c r="H953">
        <v>81.319999999999993</v>
      </c>
      <c r="I953" t="s">
        <v>23</v>
      </c>
      <c r="J953" s="1">
        <v>44303</v>
      </c>
      <c r="K953" t="s">
        <v>24</v>
      </c>
    </row>
    <row r="954" spans="1:11" x14ac:dyDescent="0.3">
      <c r="A954" t="s">
        <v>1937</v>
      </c>
      <c r="B954" t="s">
        <v>1938</v>
      </c>
      <c r="C954" t="s">
        <v>22</v>
      </c>
      <c r="D954">
        <v>30</v>
      </c>
      <c r="E954" s="20" t="str">
        <f t="shared" si="14"/>
        <v>26-35</v>
      </c>
      <c r="F954" t="s">
        <v>56</v>
      </c>
      <c r="G954">
        <v>4</v>
      </c>
      <c r="H954">
        <v>46.92</v>
      </c>
      <c r="I954" t="s">
        <v>28</v>
      </c>
      <c r="J954" s="1">
        <v>44864</v>
      </c>
      <c r="K954" t="s">
        <v>60</v>
      </c>
    </row>
    <row r="955" spans="1:11" x14ac:dyDescent="0.3">
      <c r="A955" t="s">
        <v>1939</v>
      </c>
      <c r="B955" t="s">
        <v>1940</v>
      </c>
      <c r="C955" t="s">
        <v>22</v>
      </c>
      <c r="D955">
        <v>35</v>
      </c>
      <c r="E955" s="20" t="str">
        <f t="shared" si="14"/>
        <v>26-35</v>
      </c>
      <c r="F955" t="s">
        <v>56</v>
      </c>
      <c r="G955">
        <v>3</v>
      </c>
      <c r="H955">
        <v>35.19</v>
      </c>
      <c r="I955" t="s">
        <v>28</v>
      </c>
      <c r="J955" s="1">
        <v>44584</v>
      </c>
      <c r="K955" t="s">
        <v>24</v>
      </c>
    </row>
    <row r="956" spans="1:11" x14ac:dyDescent="0.3">
      <c r="A956" t="s">
        <v>1941</v>
      </c>
      <c r="B956" t="s">
        <v>1942</v>
      </c>
      <c r="C956" t="s">
        <v>12</v>
      </c>
      <c r="D956">
        <v>42</v>
      </c>
      <c r="E956" s="20" t="str">
        <f t="shared" si="14"/>
        <v>36-45</v>
      </c>
      <c r="F956" t="s">
        <v>56</v>
      </c>
      <c r="G956">
        <v>2</v>
      </c>
      <c r="H956">
        <v>23.46</v>
      </c>
      <c r="I956" t="s">
        <v>23</v>
      </c>
      <c r="J956" s="1">
        <v>44348</v>
      </c>
      <c r="K956" t="s">
        <v>24</v>
      </c>
    </row>
    <row r="957" spans="1:11" x14ac:dyDescent="0.3">
      <c r="A957" t="s">
        <v>1943</v>
      </c>
      <c r="B957" t="s">
        <v>1944</v>
      </c>
      <c r="C957" t="s">
        <v>22</v>
      </c>
      <c r="D957">
        <v>67</v>
      </c>
      <c r="E957" s="20" t="str">
        <f t="shared" si="14"/>
        <v>60+</v>
      </c>
      <c r="F957" t="s">
        <v>48</v>
      </c>
      <c r="G957">
        <v>2</v>
      </c>
      <c r="H957">
        <v>1200.3399999999999</v>
      </c>
      <c r="I957" t="s">
        <v>14</v>
      </c>
      <c r="J957" s="1">
        <v>44256</v>
      </c>
      <c r="K957" t="s">
        <v>73</v>
      </c>
    </row>
    <row r="958" spans="1:11" x14ac:dyDescent="0.3">
      <c r="A958" t="s">
        <v>1945</v>
      </c>
      <c r="B958" t="s">
        <v>1946</v>
      </c>
      <c r="C958" t="s">
        <v>12</v>
      </c>
      <c r="D958">
        <v>22</v>
      </c>
      <c r="E958" s="20" t="str">
        <f t="shared" si="14"/>
        <v>18-25</v>
      </c>
      <c r="F958" t="s">
        <v>48</v>
      </c>
      <c r="G958">
        <v>5</v>
      </c>
      <c r="H958">
        <v>3000.85</v>
      </c>
      <c r="I958" t="s">
        <v>28</v>
      </c>
      <c r="J958" s="1">
        <v>44762</v>
      </c>
      <c r="K958" t="s">
        <v>43</v>
      </c>
    </row>
    <row r="959" spans="1:11" x14ac:dyDescent="0.3">
      <c r="A959" t="s">
        <v>1947</v>
      </c>
      <c r="B959" t="s">
        <v>1948</v>
      </c>
      <c r="C959" t="s">
        <v>22</v>
      </c>
      <c r="D959">
        <v>28</v>
      </c>
      <c r="E959" s="20" t="str">
        <f t="shared" si="14"/>
        <v>26-35</v>
      </c>
      <c r="F959" t="s">
        <v>27</v>
      </c>
      <c r="G959">
        <v>3</v>
      </c>
      <c r="H959">
        <v>45.45</v>
      </c>
      <c r="I959" t="s">
        <v>28</v>
      </c>
      <c r="J959" s="1">
        <v>44481</v>
      </c>
      <c r="K959" t="s">
        <v>34</v>
      </c>
    </row>
    <row r="960" spans="1:11" x14ac:dyDescent="0.3">
      <c r="A960" t="s">
        <v>1949</v>
      </c>
      <c r="B960" t="s">
        <v>1950</v>
      </c>
      <c r="C960" t="s">
        <v>22</v>
      </c>
      <c r="D960">
        <v>67</v>
      </c>
      <c r="E960" s="20" t="str">
        <f t="shared" si="14"/>
        <v>60+</v>
      </c>
      <c r="F960" t="s">
        <v>13</v>
      </c>
      <c r="G960">
        <v>2</v>
      </c>
      <c r="H960">
        <v>600.16</v>
      </c>
      <c r="I960" t="s">
        <v>28</v>
      </c>
      <c r="J960" s="1">
        <v>44886</v>
      </c>
      <c r="K960" t="s">
        <v>53</v>
      </c>
    </row>
    <row r="961" spans="1:11" x14ac:dyDescent="0.3">
      <c r="A961" t="s">
        <v>1951</v>
      </c>
      <c r="B961" t="s">
        <v>1952</v>
      </c>
      <c r="C961" t="s">
        <v>22</v>
      </c>
      <c r="D961">
        <v>69</v>
      </c>
      <c r="E961" s="20" t="str">
        <f t="shared" si="14"/>
        <v>60+</v>
      </c>
      <c r="F961" t="s">
        <v>48</v>
      </c>
      <c r="G961">
        <v>3</v>
      </c>
      <c r="H961">
        <v>1800.51</v>
      </c>
      <c r="I961" t="s">
        <v>23</v>
      </c>
      <c r="J961" s="1">
        <v>44572</v>
      </c>
      <c r="K961" t="s">
        <v>24</v>
      </c>
    </row>
    <row r="962" spans="1:11" x14ac:dyDescent="0.3">
      <c r="A962" t="s">
        <v>1953</v>
      </c>
      <c r="B962" t="s">
        <v>1954</v>
      </c>
      <c r="C962" t="s">
        <v>12</v>
      </c>
      <c r="D962">
        <v>34</v>
      </c>
      <c r="E962" s="20" t="str">
        <f t="shared" si="14"/>
        <v>26-35</v>
      </c>
      <c r="F962" t="s">
        <v>59</v>
      </c>
      <c r="G962">
        <v>3</v>
      </c>
      <c r="H962">
        <v>107.52</v>
      </c>
      <c r="I962" t="s">
        <v>28</v>
      </c>
      <c r="J962" s="1">
        <v>44425</v>
      </c>
      <c r="K962" t="s">
        <v>34</v>
      </c>
    </row>
    <row r="963" spans="1:11" x14ac:dyDescent="0.3">
      <c r="A963" t="s">
        <v>1955</v>
      </c>
      <c r="B963" t="s">
        <v>1956</v>
      </c>
      <c r="C963" t="s">
        <v>22</v>
      </c>
      <c r="D963">
        <v>62</v>
      </c>
      <c r="E963" s="20" t="str">
        <f t="shared" ref="E963:E1001" si="15">IF(D963&lt;18,"Below 18",IF(D963&lt;=25,"18-25",IF(D963&lt;=35,"26-35",IF(D963&lt;=45,"36-45",IF(D963&lt;=60,"46-60","60+")))))</f>
        <v>60+</v>
      </c>
      <c r="F963" t="s">
        <v>37</v>
      </c>
      <c r="G963">
        <v>2</v>
      </c>
      <c r="H963">
        <v>10.46</v>
      </c>
      <c r="I963" t="s">
        <v>28</v>
      </c>
      <c r="J963" s="1">
        <v>44380</v>
      </c>
      <c r="K963" t="s">
        <v>19</v>
      </c>
    </row>
    <row r="964" spans="1:11" x14ac:dyDescent="0.3">
      <c r="A964" t="s">
        <v>1957</v>
      </c>
      <c r="B964" t="s">
        <v>1958</v>
      </c>
      <c r="C964" t="s">
        <v>12</v>
      </c>
      <c r="D964">
        <v>33</v>
      </c>
      <c r="E964" s="20" t="str">
        <f t="shared" si="15"/>
        <v>26-35</v>
      </c>
      <c r="F964" t="s">
        <v>37</v>
      </c>
      <c r="G964">
        <v>1</v>
      </c>
      <c r="H964">
        <v>5.23</v>
      </c>
      <c r="I964" t="s">
        <v>14</v>
      </c>
      <c r="J964" s="1">
        <v>44596</v>
      </c>
      <c r="K964" t="s">
        <v>60</v>
      </c>
    </row>
    <row r="965" spans="1:11" x14ac:dyDescent="0.3">
      <c r="A965" t="s">
        <v>1959</v>
      </c>
      <c r="B965" t="s">
        <v>1960</v>
      </c>
      <c r="C965" t="s">
        <v>12</v>
      </c>
      <c r="D965">
        <v>41</v>
      </c>
      <c r="E965" s="20" t="str">
        <f t="shared" si="15"/>
        <v>36-45</v>
      </c>
      <c r="F965" t="s">
        <v>31</v>
      </c>
      <c r="G965">
        <v>4</v>
      </c>
      <c r="H965">
        <v>4200</v>
      </c>
      <c r="I965" t="s">
        <v>14</v>
      </c>
      <c r="J965" s="1">
        <v>44762</v>
      </c>
      <c r="K965" t="s">
        <v>73</v>
      </c>
    </row>
    <row r="966" spans="1:11" x14ac:dyDescent="0.3">
      <c r="A966" t="s">
        <v>1961</v>
      </c>
      <c r="B966" t="s">
        <v>1962</v>
      </c>
      <c r="C966" t="s">
        <v>22</v>
      </c>
      <c r="D966">
        <v>51</v>
      </c>
      <c r="E966" s="20" t="str">
        <f t="shared" si="15"/>
        <v>46-60</v>
      </c>
      <c r="F966" t="s">
        <v>48</v>
      </c>
      <c r="G966">
        <v>1</v>
      </c>
      <c r="H966">
        <v>600.16999999999996</v>
      </c>
      <c r="I966" t="s">
        <v>14</v>
      </c>
      <c r="J966" s="1">
        <v>44410</v>
      </c>
      <c r="K966" t="s">
        <v>34</v>
      </c>
    </row>
    <row r="967" spans="1:11" x14ac:dyDescent="0.3">
      <c r="A967" t="s">
        <v>1963</v>
      </c>
      <c r="B967" t="s">
        <v>1964</v>
      </c>
      <c r="C967" t="s">
        <v>22</v>
      </c>
      <c r="D967">
        <v>57</v>
      </c>
      <c r="E967" s="20" t="str">
        <f t="shared" si="15"/>
        <v>46-60</v>
      </c>
      <c r="F967" t="s">
        <v>13</v>
      </c>
      <c r="G967">
        <v>4</v>
      </c>
      <c r="H967">
        <v>1200.32</v>
      </c>
      <c r="I967" t="s">
        <v>23</v>
      </c>
      <c r="J967" s="1">
        <v>44745</v>
      </c>
      <c r="K967" t="s">
        <v>84</v>
      </c>
    </row>
    <row r="968" spans="1:11" x14ac:dyDescent="0.3">
      <c r="A968" t="s">
        <v>1965</v>
      </c>
      <c r="B968" t="s">
        <v>1966</v>
      </c>
      <c r="C968" t="s">
        <v>22</v>
      </c>
      <c r="D968">
        <v>60</v>
      </c>
      <c r="E968" s="20" t="str">
        <f t="shared" si="15"/>
        <v>46-60</v>
      </c>
      <c r="F968" t="s">
        <v>13</v>
      </c>
      <c r="G968">
        <v>4</v>
      </c>
      <c r="H968">
        <v>1200.32</v>
      </c>
      <c r="I968" t="s">
        <v>28</v>
      </c>
      <c r="J968" s="1">
        <v>44389</v>
      </c>
      <c r="K968" t="s">
        <v>53</v>
      </c>
    </row>
    <row r="969" spans="1:11" x14ac:dyDescent="0.3">
      <c r="A969" t="s">
        <v>1967</v>
      </c>
      <c r="B969" t="s">
        <v>1968</v>
      </c>
      <c r="C969" t="s">
        <v>12</v>
      </c>
      <c r="D969">
        <v>60</v>
      </c>
      <c r="E969" s="20" t="str">
        <f t="shared" si="15"/>
        <v>46-60</v>
      </c>
      <c r="F969" t="s">
        <v>48</v>
      </c>
      <c r="G969">
        <v>2</v>
      </c>
      <c r="H969">
        <v>1200.3399999999999</v>
      </c>
      <c r="I969" t="s">
        <v>14</v>
      </c>
      <c r="J969" s="1">
        <v>44848</v>
      </c>
      <c r="K969" t="s">
        <v>53</v>
      </c>
    </row>
    <row r="970" spans="1:11" x14ac:dyDescent="0.3">
      <c r="A970" t="s">
        <v>1969</v>
      </c>
      <c r="B970" t="s">
        <v>1970</v>
      </c>
      <c r="C970" t="s">
        <v>22</v>
      </c>
      <c r="D970">
        <v>27</v>
      </c>
      <c r="E970" s="20" t="str">
        <f t="shared" si="15"/>
        <v>26-35</v>
      </c>
      <c r="F970" t="s">
        <v>27</v>
      </c>
      <c r="G970">
        <v>4</v>
      </c>
      <c r="H970">
        <v>60.6</v>
      </c>
      <c r="I970" t="s">
        <v>14</v>
      </c>
      <c r="J970" s="1">
        <v>44364</v>
      </c>
      <c r="K970" t="s">
        <v>24</v>
      </c>
    </row>
    <row r="971" spans="1:11" x14ac:dyDescent="0.3">
      <c r="A971" t="s">
        <v>1971</v>
      </c>
      <c r="B971" t="s">
        <v>1972</v>
      </c>
      <c r="C971" t="s">
        <v>12</v>
      </c>
      <c r="D971">
        <v>36</v>
      </c>
      <c r="E971" s="20" t="str">
        <f t="shared" si="15"/>
        <v>36-45</v>
      </c>
      <c r="F971" t="s">
        <v>27</v>
      </c>
      <c r="G971">
        <v>1</v>
      </c>
      <c r="H971">
        <v>15.15</v>
      </c>
      <c r="I971" t="s">
        <v>23</v>
      </c>
      <c r="J971" s="1">
        <v>44982</v>
      </c>
      <c r="K971" t="s">
        <v>24</v>
      </c>
    </row>
    <row r="972" spans="1:11" x14ac:dyDescent="0.3">
      <c r="A972" t="s">
        <v>1973</v>
      </c>
      <c r="B972" t="s">
        <v>1974</v>
      </c>
      <c r="C972" t="s">
        <v>22</v>
      </c>
      <c r="D972">
        <v>64</v>
      </c>
      <c r="E972" s="20" t="str">
        <f t="shared" si="15"/>
        <v>60+</v>
      </c>
      <c r="F972" t="s">
        <v>48</v>
      </c>
      <c r="G972">
        <v>1</v>
      </c>
      <c r="H972">
        <v>600.16999999999996</v>
      </c>
      <c r="I972" t="s">
        <v>14</v>
      </c>
      <c r="J972" s="1">
        <v>44490</v>
      </c>
      <c r="K972" t="s">
        <v>19</v>
      </c>
    </row>
    <row r="973" spans="1:11" x14ac:dyDescent="0.3">
      <c r="A973" t="s">
        <v>1975</v>
      </c>
      <c r="B973" t="s">
        <v>1976</v>
      </c>
      <c r="C973" t="s">
        <v>22</v>
      </c>
      <c r="D973">
        <v>22</v>
      </c>
      <c r="E973" s="20" t="str">
        <f t="shared" si="15"/>
        <v>18-25</v>
      </c>
      <c r="F973" t="s">
        <v>59</v>
      </c>
      <c r="G973">
        <v>4</v>
      </c>
      <c r="H973">
        <v>143.36000000000001</v>
      </c>
      <c r="I973" t="s">
        <v>28</v>
      </c>
      <c r="J973" s="1">
        <v>44432</v>
      </c>
      <c r="K973" t="s">
        <v>40</v>
      </c>
    </row>
    <row r="974" spans="1:11" x14ac:dyDescent="0.3">
      <c r="A974" t="s">
        <v>1977</v>
      </c>
      <c r="B974" t="s">
        <v>1978</v>
      </c>
      <c r="C974" t="s">
        <v>22</v>
      </c>
      <c r="D974">
        <v>18</v>
      </c>
      <c r="E974" s="20" t="str">
        <f t="shared" si="15"/>
        <v>18-25</v>
      </c>
      <c r="F974" t="s">
        <v>59</v>
      </c>
      <c r="G974">
        <v>5</v>
      </c>
      <c r="H974">
        <v>179.2</v>
      </c>
      <c r="I974" t="s">
        <v>14</v>
      </c>
      <c r="J974" s="1">
        <v>44368</v>
      </c>
      <c r="K974" t="s">
        <v>24</v>
      </c>
    </row>
    <row r="975" spans="1:11" x14ac:dyDescent="0.3">
      <c r="A975" t="s">
        <v>1979</v>
      </c>
      <c r="B975" t="s">
        <v>1980</v>
      </c>
      <c r="C975" t="s">
        <v>22</v>
      </c>
      <c r="D975">
        <v>55</v>
      </c>
      <c r="E975" s="20" t="str">
        <f t="shared" si="15"/>
        <v>46-60</v>
      </c>
      <c r="F975" t="s">
        <v>59</v>
      </c>
      <c r="G975">
        <v>5</v>
      </c>
      <c r="H975">
        <v>179.2</v>
      </c>
      <c r="I975" t="s">
        <v>14</v>
      </c>
      <c r="J975" s="1">
        <v>44456</v>
      </c>
      <c r="K975" t="s">
        <v>43</v>
      </c>
    </row>
    <row r="976" spans="1:11" x14ac:dyDescent="0.3">
      <c r="A976" t="s">
        <v>1981</v>
      </c>
      <c r="B976" t="s">
        <v>1982</v>
      </c>
      <c r="C976" t="s">
        <v>12</v>
      </c>
      <c r="D976">
        <v>65</v>
      </c>
      <c r="E976" s="20" t="str">
        <f t="shared" si="15"/>
        <v>60+</v>
      </c>
      <c r="F976" t="s">
        <v>13</v>
      </c>
      <c r="G976">
        <v>2</v>
      </c>
      <c r="H976">
        <v>600.16</v>
      </c>
      <c r="I976" t="s">
        <v>23</v>
      </c>
      <c r="J976" s="1">
        <v>44810</v>
      </c>
      <c r="K976" t="s">
        <v>43</v>
      </c>
    </row>
    <row r="977" spans="1:11" x14ac:dyDescent="0.3">
      <c r="A977" t="s">
        <v>1983</v>
      </c>
      <c r="B977" t="s">
        <v>1984</v>
      </c>
      <c r="C977" t="s">
        <v>22</v>
      </c>
      <c r="D977">
        <v>38</v>
      </c>
      <c r="E977" s="20" t="str">
        <f t="shared" si="15"/>
        <v>36-45</v>
      </c>
      <c r="F977" t="s">
        <v>31</v>
      </c>
      <c r="G977">
        <v>2</v>
      </c>
      <c r="H977">
        <v>2100</v>
      </c>
      <c r="I977" t="s">
        <v>23</v>
      </c>
      <c r="J977" s="1">
        <v>44453</v>
      </c>
      <c r="K977" t="s">
        <v>40</v>
      </c>
    </row>
    <row r="978" spans="1:11" x14ac:dyDescent="0.3">
      <c r="A978" t="s">
        <v>1985</v>
      </c>
      <c r="B978" t="s">
        <v>1986</v>
      </c>
      <c r="C978" t="s">
        <v>12</v>
      </c>
      <c r="D978">
        <v>21</v>
      </c>
      <c r="E978" s="20" t="str">
        <f t="shared" si="15"/>
        <v>18-25</v>
      </c>
      <c r="F978" t="s">
        <v>13</v>
      </c>
      <c r="G978">
        <v>5</v>
      </c>
      <c r="H978">
        <v>1500.4</v>
      </c>
      <c r="I978" t="s">
        <v>23</v>
      </c>
      <c r="J978" s="1">
        <v>44437</v>
      </c>
      <c r="K978" t="s">
        <v>34</v>
      </c>
    </row>
    <row r="979" spans="1:11" x14ac:dyDescent="0.3">
      <c r="A979" t="s">
        <v>1987</v>
      </c>
      <c r="B979" t="s">
        <v>1988</v>
      </c>
      <c r="C979" t="s">
        <v>22</v>
      </c>
      <c r="D979">
        <v>39</v>
      </c>
      <c r="E979" s="20" t="str">
        <f t="shared" si="15"/>
        <v>36-45</v>
      </c>
      <c r="F979" t="s">
        <v>18</v>
      </c>
      <c r="G979">
        <v>2</v>
      </c>
      <c r="H979">
        <v>81.319999999999993</v>
      </c>
      <c r="I979" t="s">
        <v>14</v>
      </c>
      <c r="J979" s="1">
        <v>44791</v>
      </c>
      <c r="K979" t="s">
        <v>84</v>
      </c>
    </row>
    <row r="980" spans="1:11" x14ac:dyDescent="0.3">
      <c r="A980" t="s">
        <v>1989</v>
      </c>
      <c r="B980" t="s">
        <v>1990</v>
      </c>
      <c r="C980" t="s">
        <v>22</v>
      </c>
      <c r="D980">
        <v>48</v>
      </c>
      <c r="E980" s="20" t="str">
        <f t="shared" si="15"/>
        <v>46-60</v>
      </c>
      <c r="F980" t="s">
        <v>13</v>
      </c>
      <c r="G980">
        <v>5</v>
      </c>
      <c r="H980">
        <v>1500.4</v>
      </c>
      <c r="I980" t="s">
        <v>14</v>
      </c>
      <c r="J980" s="1">
        <v>44360</v>
      </c>
      <c r="K980" t="s">
        <v>19</v>
      </c>
    </row>
    <row r="981" spans="1:11" x14ac:dyDescent="0.3">
      <c r="A981" t="s">
        <v>1991</v>
      </c>
      <c r="B981" t="s">
        <v>1992</v>
      </c>
      <c r="C981" t="s">
        <v>22</v>
      </c>
      <c r="D981">
        <v>62</v>
      </c>
      <c r="E981" s="20" t="str">
        <f t="shared" si="15"/>
        <v>60+</v>
      </c>
      <c r="F981" t="s">
        <v>48</v>
      </c>
      <c r="G981">
        <v>1</v>
      </c>
      <c r="H981">
        <v>600.16999999999996</v>
      </c>
      <c r="I981" t="s">
        <v>14</v>
      </c>
      <c r="J981" s="1">
        <v>44797</v>
      </c>
      <c r="K981" t="s">
        <v>34</v>
      </c>
    </row>
    <row r="982" spans="1:11" x14ac:dyDescent="0.3">
      <c r="A982" t="s">
        <v>1993</v>
      </c>
      <c r="B982" t="s">
        <v>1994</v>
      </c>
      <c r="C982" t="s">
        <v>22</v>
      </c>
      <c r="D982">
        <v>33</v>
      </c>
      <c r="E982" s="20" t="str">
        <f t="shared" si="15"/>
        <v>26-35</v>
      </c>
      <c r="F982" t="s">
        <v>37</v>
      </c>
      <c r="G982">
        <v>1</v>
      </c>
      <c r="H982">
        <v>5.23</v>
      </c>
      <c r="I982" t="s">
        <v>28</v>
      </c>
      <c r="J982" s="1">
        <v>44222</v>
      </c>
      <c r="K982" t="s">
        <v>15</v>
      </c>
    </row>
    <row r="983" spans="1:11" x14ac:dyDescent="0.3">
      <c r="A983" t="s">
        <v>1995</v>
      </c>
      <c r="B983" t="s">
        <v>1996</v>
      </c>
      <c r="C983" t="s">
        <v>12</v>
      </c>
      <c r="D983">
        <v>44</v>
      </c>
      <c r="E983" s="20" t="str">
        <f t="shared" si="15"/>
        <v>36-45</v>
      </c>
      <c r="F983" t="s">
        <v>18</v>
      </c>
      <c r="G983">
        <v>4</v>
      </c>
      <c r="H983">
        <v>162.63999999999999</v>
      </c>
      <c r="I983" t="s">
        <v>28</v>
      </c>
      <c r="J983" s="1">
        <v>44759</v>
      </c>
      <c r="K983" t="s">
        <v>34</v>
      </c>
    </row>
    <row r="984" spans="1:11" x14ac:dyDescent="0.3">
      <c r="A984" t="s">
        <v>1997</v>
      </c>
      <c r="B984" t="s">
        <v>1998</v>
      </c>
      <c r="C984" t="s">
        <v>12</v>
      </c>
      <c r="D984">
        <v>34</v>
      </c>
      <c r="E984" s="20" t="str">
        <f t="shared" si="15"/>
        <v>26-35</v>
      </c>
      <c r="F984" t="s">
        <v>37</v>
      </c>
      <c r="G984">
        <v>4</v>
      </c>
      <c r="H984">
        <v>20.92</v>
      </c>
      <c r="I984" t="s">
        <v>28</v>
      </c>
      <c r="J984" s="1">
        <v>44699</v>
      </c>
      <c r="K984" t="s">
        <v>24</v>
      </c>
    </row>
    <row r="985" spans="1:11" x14ac:dyDescent="0.3">
      <c r="A985" t="s">
        <v>1999</v>
      </c>
      <c r="B985" t="s">
        <v>2000</v>
      </c>
      <c r="C985" t="s">
        <v>22</v>
      </c>
      <c r="D985">
        <v>67</v>
      </c>
      <c r="E985" s="20" t="str">
        <f t="shared" si="15"/>
        <v>60+</v>
      </c>
      <c r="F985" t="s">
        <v>18</v>
      </c>
      <c r="G985">
        <v>1</v>
      </c>
      <c r="H985">
        <v>40.659999999999997</v>
      </c>
      <c r="I985" t="s">
        <v>23</v>
      </c>
      <c r="J985" s="1">
        <v>44732</v>
      </c>
      <c r="K985" t="s">
        <v>34</v>
      </c>
    </row>
    <row r="986" spans="1:11" x14ac:dyDescent="0.3">
      <c r="A986" t="s">
        <v>2001</v>
      </c>
      <c r="B986" t="s">
        <v>2002</v>
      </c>
      <c r="C986" t="s">
        <v>22</v>
      </c>
      <c r="D986">
        <v>41</v>
      </c>
      <c r="E986" s="20" t="str">
        <f t="shared" si="15"/>
        <v>36-45</v>
      </c>
      <c r="F986" t="s">
        <v>13</v>
      </c>
      <c r="G986">
        <v>2</v>
      </c>
      <c r="H986">
        <v>600.16</v>
      </c>
      <c r="I986" t="s">
        <v>14</v>
      </c>
      <c r="J986" s="1">
        <v>44213</v>
      </c>
      <c r="K986" t="s">
        <v>24</v>
      </c>
    </row>
    <row r="987" spans="1:11" x14ac:dyDescent="0.3">
      <c r="A987" t="s">
        <v>2003</v>
      </c>
      <c r="B987" t="s">
        <v>2004</v>
      </c>
      <c r="C987" t="s">
        <v>22</v>
      </c>
      <c r="D987">
        <v>53</v>
      </c>
      <c r="E987" s="20" t="str">
        <f t="shared" si="15"/>
        <v>46-60</v>
      </c>
      <c r="F987" t="s">
        <v>37</v>
      </c>
      <c r="G987">
        <v>5</v>
      </c>
      <c r="H987">
        <v>26.15</v>
      </c>
      <c r="I987" t="s">
        <v>28</v>
      </c>
      <c r="J987" s="1">
        <v>44968</v>
      </c>
      <c r="K987" t="s">
        <v>43</v>
      </c>
    </row>
    <row r="988" spans="1:11" x14ac:dyDescent="0.3">
      <c r="A988" t="s">
        <v>2005</v>
      </c>
      <c r="B988" t="s">
        <v>2006</v>
      </c>
      <c r="C988" t="s">
        <v>22</v>
      </c>
      <c r="D988">
        <v>36</v>
      </c>
      <c r="E988" s="20" t="str">
        <f t="shared" si="15"/>
        <v>36-45</v>
      </c>
      <c r="F988" t="s">
        <v>59</v>
      </c>
      <c r="G988">
        <v>2</v>
      </c>
      <c r="H988">
        <v>71.680000000000007</v>
      </c>
      <c r="I988" t="s">
        <v>14</v>
      </c>
      <c r="J988" s="1">
        <v>44989</v>
      </c>
      <c r="K988" t="s">
        <v>34</v>
      </c>
    </row>
    <row r="989" spans="1:11" x14ac:dyDescent="0.3">
      <c r="A989" t="s">
        <v>2007</v>
      </c>
      <c r="B989" t="s">
        <v>2008</v>
      </c>
      <c r="C989" t="s">
        <v>12</v>
      </c>
      <c r="D989">
        <v>31</v>
      </c>
      <c r="E989" s="20" t="str">
        <f t="shared" si="15"/>
        <v>26-35</v>
      </c>
      <c r="F989" t="s">
        <v>27</v>
      </c>
      <c r="G989">
        <v>2</v>
      </c>
      <c r="H989">
        <v>30.3</v>
      </c>
      <c r="I989" t="s">
        <v>28</v>
      </c>
      <c r="J989" s="1">
        <v>44269</v>
      </c>
      <c r="K989" t="s">
        <v>24</v>
      </c>
    </row>
    <row r="990" spans="1:11" x14ac:dyDescent="0.3">
      <c r="A990" t="s">
        <v>2009</v>
      </c>
      <c r="B990" t="s">
        <v>2010</v>
      </c>
      <c r="C990" t="s">
        <v>12</v>
      </c>
      <c r="D990">
        <v>66</v>
      </c>
      <c r="E990" s="20" t="str">
        <f t="shared" si="15"/>
        <v>60+</v>
      </c>
      <c r="F990" t="s">
        <v>13</v>
      </c>
      <c r="G990">
        <v>1</v>
      </c>
      <c r="H990">
        <v>300.08</v>
      </c>
      <c r="I990" t="s">
        <v>14</v>
      </c>
      <c r="J990" s="1">
        <v>44419</v>
      </c>
      <c r="K990" t="s">
        <v>24</v>
      </c>
    </row>
    <row r="991" spans="1:11" x14ac:dyDescent="0.3">
      <c r="A991" t="s">
        <v>2011</v>
      </c>
      <c r="B991" t="s">
        <v>2012</v>
      </c>
      <c r="C991" t="s">
        <v>12</v>
      </c>
      <c r="D991">
        <v>22</v>
      </c>
      <c r="E991" s="20" t="str">
        <f t="shared" si="15"/>
        <v>18-25</v>
      </c>
      <c r="F991" t="s">
        <v>59</v>
      </c>
      <c r="G991">
        <v>3</v>
      </c>
      <c r="H991">
        <v>107.52</v>
      </c>
      <c r="I991" t="s">
        <v>23</v>
      </c>
      <c r="J991" s="1">
        <v>44525</v>
      </c>
      <c r="K991" t="s">
        <v>43</v>
      </c>
    </row>
    <row r="992" spans="1:11" x14ac:dyDescent="0.3">
      <c r="A992" t="s">
        <v>2013</v>
      </c>
      <c r="B992" t="s">
        <v>2014</v>
      </c>
      <c r="C992" t="s">
        <v>12</v>
      </c>
      <c r="D992">
        <v>69</v>
      </c>
      <c r="E992" s="20" t="str">
        <f t="shared" si="15"/>
        <v>60+</v>
      </c>
      <c r="F992" t="s">
        <v>13</v>
      </c>
      <c r="G992">
        <v>2</v>
      </c>
      <c r="H992">
        <v>600.16</v>
      </c>
      <c r="I992" t="s">
        <v>23</v>
      </c>
      <c r="J992" s="1">
        <v>44276</v>
      </c>
      <c r="K992" t="s">
        <v>43</v>
      </c>
    </row>
    <row r="993" spans="1:11" x14ac:dyDescent="0.3">
      <c r="A993" t="s">
        <v>2015</v>
      </c>
      <c r="B993" t="s">
        <v>2016</v>
      </c>
      <c r="C993" t="s">
        <v>12</v>
      </c>
      <c r="D993">
        <v>19</v>
      </c>
      <c r="E993" s="20" t="str">
        <f t="shared" si="15"/>
        <v>18-25</v>
      </c>
      <c r="F993" t="s">
        <v>18</v>
      </c>
      <c r="G993">
        <v>2</v>
      </c>
      <c r="H993">
        <v>81.319999999999993</v>
      </c>
      <c r="I993" t="s">
        <v>14</v>
      </c>
      <c r="J993" s="1">
        <v>44561</v>
      </c>
      <c r="K993" t="s">
        <v>43</v>
      </c>
    </row>
    <row r="994" spans="1:11" x14ac:dyDescent="0.3">
      <c r="A994" t="s">
        <v>2017</v>
      </c>
      <c r="B994" t="s">
        <v>2018</v>
      </c>
      <c r="C994" t="s">
        <v>12</v>
      </c>
      <c r="D994">
        <v>26</v>
      </c>
      <c r="E994" s="20" t="str">
        <f t="shared" si="15"/>
        <v>26-35</v>
      </c>
      <c r="F994" t="s">
        <v>37</v>
      </c>
      <c r="G994">
        <v>5</v>
      </c>
      <c r="H994">
        <v>26.15</v>
      </c>
      <c r="I994" t="s">
        <v>14</v>
      </c>
      <c r="J994" s="1">
        <v>44904</v>
      </c>
      <c r="K994" t="s">
        <v>24</v>
      </c>
    </row>
    <row r="995" spans="1:11" x14ac:dyDescent="0.3">
      <c r="A995" t="s">
        <v>2019</v>
      </c>
      <c r="B995" t="s">
        <v>2020</v>
      </c>
      <c r="C995" t="s">
        <v>12</v>
      </c>
      <c r="D995">
        <v>20</v>
      </c>
      <c r="E995" s="20" t="str">
        <f t="shared" si="15"/>
        <v>18-25</v>
      </c>
      <c r="F995" t="s">
        <v>18</v>
      </c>
      <c r="G995">
        <v>4</v>
      </c>
      <c r="H995">
        <v>162.63999999999999</v>
      </c>
      <c r="I995" t="s">
        <v>14</v>
      </c>
      <c r="J995" s="1">
        <v>44655</v>
      </c>
      <c r="K995" t="s">
        <v>53</v>
      </c>
    </row>
    <row r="996" spans="1:11" x14ac:dyDescent="0.3">
      <c r="A996" t="s">
        <v>2021</v>
      </c>
      <c r="B996" t="s">
        <v>2022</v>
      </c>
      <c r="C996" t="s">
        <v>22</v>
      </c>
      <c r="D996">
        <v>24</v>
      </c>
      <c r="E996" s="20" t="str">
        <f t="shared" si="15"/>
        <v>18-25</v>
      </c>
      <c r="F996" t="s">
        <v>13</v>
      </c>
      <c r="G996">
        <v>4</v>
      </c>
      <c r="H996">
        <v>1200.32</v>
      </c>
      <c r="I996" t="s">
        <v>23</v>
      </c>
      <c r="J996" s="1">
        <v>44449</v>
      </c>
      <c r="K996" t="s">
        <v>19</v>
      </c>
    </row>
    <row r="997" spans="1:11" x14ac:dyDescent="0.3">
      <c r="A997" t="s">
        <v>2023</v>
      </c>
      <c r="B997" t="s">
        <v>2024</v>
      </c>
      <c r="C997" t="s">
        <v>22</v>
      </c>
      <c r="D997">
        <v>68</v>
      </c>
      <c r="E997" s="20" t="str">
        <f t="shared" si="15"/>
        <v>60+</v>
      </c>
      <c r="F997" t="s">
        <v>37</v>
      </c>
      <c r="G997">
        <v>2</v>
      </c>
      <c r="H997">
        <v>10.46</v>
      </c>
      <c r="I997" t="s">
        <v>14</v>
      </c>
      <c r="J997" s="1">
        <v>44769</v>
      </c>
      <c r="K997" t="s">
        <v>24</v>
      </c>
    </row>
    <row r="998" spans="1:11" x14ac:dyDescent="0.3">
      <c r="A998" t="s">
        <v>2025</v>
      </c>
      <c r="B998" t="s">
        <v>2026</v>
      </c>
      <c r="C998" t="s">
        <v>22</v>
      </c>
      <c r="D998">
        <v>33</v>
      </c>
      <c r="E998" s="20" t="str">
        <f t="shared" si="15"/>
        <v>26-35</v>
      </c>
      <c r="F998" t="s">
        <v>27</v>
      </c>
      <c r="G998">
        <v>3</v>
      </c>
      <c r="H998">
        <v>45.45</v>
      </c>
      <c r="I998" t="s">
        <v>28</v>
      </c>
      <c r="J998" s="1">
        <v>44846</v>
      </c>
      <c r="K998" t="s">
        <v>34</v>
      </c>
    </row>
    <row r="999" spans="1:11" x14ac:dyDescent="0.3">
      <c r="A999" t="s">
        <v>2027</v>
      </c>
      <c r="B999" t="s">
        <v>2028</v>
      </c>
      <c r="C999" t="s">
        <v>22</v>
      </c>
      <c r="D999">
        <v>48</v>
      </c>
      <c r="E999" s="20" t="str">
        <f t="shared" si="15"/>
        <v>46-60</v>
      </c>
      <c r="F999" t="s">
        <v>18</v>
      </c>
      <c r="G999">
        <v>4</v>
      </c>
      <c r="H999">
        <v>162.63999999999999</v>
      </c>
      <c r="I999" t="s">
        <v>14</v>
      </c>
      <c r="J999" s="1">
        <v>44607</v>
      </c>
      <c r="K999" t="s">
        <v>84</v>
      </c>
    </row>
    <row r="1000" spans="1:11" x14ac:dyDescent="0.3">
      <c r="A1000" t="s">
        <v>2029</v>
      </c>
      <c r="B1000" t="s">
        <v>2030</v>
      </c>
      <c r="C1000" t="s">
        <v>22</v>
      </c>
      <c r="D1000">
        <v>27</v>
      </c>
      <c r="E1000" s="20" t="str">
        <f t="shared" si="15"/>
        <v>26-35</v>
      </c>
      <c r="F1000" t="s">
        <v>13</v>
      </c>
      <c r="G1000">
        <v>2</v>
      </c>
      <c r="H1000">
        <v>600.16</v>
      </c>
      <c r="I1000" t="s">
        <v>28</v>
      </c>
      <c r="J1000" s="1">
        <v>44800</v>
      </c>
      <c r="K1000" t="s">
        <v>43</v>
      </c>
    </row>
    <row r="1001" spans="1:11" x14ac:dyDescent="0.3">
      <c r="A1001" t="s">
        <v>2031</v>
      </c>
      <c r="B1001" t="s">
        <v>2032</v>
      </c>
      <c r="C1001" t="s">
        <v>22</v>
      </c>
      <c r="D1001">
        <v>52</v>
      </c>
      <c r="E1001" s="20" t="str">
        <f t="shared" si="15"/>
        <v>46-60</v>
      </c>
      <c r="F1001" t="s">
        <v>18</v>
      </c>
      <c r="G1001">
        <v>4</v>
      </c>
      <c r="H1001">
        <v>162.63999999999999</v>
      </c>
      <c r="I1001" t="s">
        <v>14</v>
      </c>
      <c r="J1001" s="1">
        <v>44790</v>
      </c>
      <c r="K1001" t="s">
        <v>34</v>
      </c>
    </row>
  </sheetData>
  <autoFilter ref="C1:C1001" xr:uid="{C5ED2AFA-F7A1-408D-A5DB-05B6F5CD483C}"/>
  <conditionalFormatting sqref="D1:E1 D1002:E1048576 D2:D1001">
    <cfRule type="cellIs" dxfId="1" priority="2" operator="greaterThan">
      <formula>65</formula>
    </cfRule>
  </conditionalFormatting>
  <conditionalFormatting sqref="G1:G1048576">
    <cfRule type="cellIs" dxfId="0" priority="1" operator="greaterThan">
      <formula>4</formula>
    </cfRule>
  </conditionalFormatting>
  <dataValidations count="3">
    <dataValidation type="whole" allowBlank="1" showInputMessage="1" showErrorMessage="1" sqref="D1:D1048576" xr:uid="{32A558BB-17BD-4811-AB6C-B46415BE6D3C}">
      <formula1>18</formula1>
      <formula2>70</formula2>
    </dataValidation>
    <dataValidation type="list" allowBlank="1" showInputMessage="1" showErrorMessage="1" sqref="C1:C1048576" xr:uid="{48A5FD16-D47A-467C-B82B-6E95EF04936D}">
      <formula1>"Male,Female"</formula1>
    </dataValidation>
    <dataValidation type="list" allowBlank="1" showInputMessage="1" showErrorMessage="1" sqref="I1:I1048576" xr:uid="{13594DD5-759A-4B12-98C2-0E5F20C89D09}">
      <formula1>"Cash,Credit Card,Debit Card"</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7CEB-7F12-466A-A382-BD4E9F90DC5B}">
  <dimension ref="A1:K268"/>
  <sheetViews>
    <sheetView workbookViewId="0">
      <selection activeCell="A3" sqref="A3:K268"/>
    </sheetView>
  </sheetViews>
  <sheetFormatPr defaultRowHeight="14.4" x14ac:dyDescent="0.3"/>
  <cols>
    <col min="1" max="1" width="12.44140625" bestFit="1" customWidth="1"/>
    <col min="2" max="2" width="13.6640625" bestFit="1" customWidth="1"/>
    <col min="3" max="3" width="9.109375" bestFit="1" customWidth="1"/>
    <col min="4" max="4" width="9" bestFit="1" customWidth="1"/>
    <col min="5" max="5" width="11.6640625" bestFit="1" customWidth="1"/>
    <col min="6" max="6" width="15" bestFit="1" customWidth="1"/>
    <col min="7" max="7" width="10.33203125" bestFit="1" customWidth="1"/>
    <col min="8" max="8" width="9" bestFit="1" customWidth="1"/>
    <col min="9" max="9" width="18.5546875" bestFit="1" customWidth="1"/>
    <col min="10" max="10" width="14" bestFit="1" customWidth="1"/>
    <col min="11" max="11" width="16.33203125" bestFit="1" customWidth="1"/>
  </cols>
  <sheetData>
    <row r="1" spans="1:11" x14ac:dyDescent="0.3">
      <c r="A1" s="9" t="s">
        <v>2055</v>
      </c>
    </row>
    <row r="3" spans="1:11" x14ac:dyDescent="0.3">
      <c r="A3" t="s">
        <v>0</v>
      </c>
      <c r="B3" t="s">
        <v>1</v>
      </c>
      <c r="C3" t="s">
        <v>2</v>
      </c>
      <c r="D3" t="s">
        <v>3</v>
      </c>
      <c r="E3" t="s">
        <v>2043</v>
      </c>
      <c r="F3" t="s">
        <v>4</v>
      </c>
      <c r="G3" t="s">
        <v>5</v>
      </c>
      <c r="H3" t="s">
        <v>6</v>
      </c>
      <c r="I3" t="s">
        <v>7</v>
      </c>
      <c r="J3" t="s">
        <v>8</v>
      </c>
      <c r="K3" t="s">
        <v>9</v>
      </c>
    </row>
    <row r="4" spans="1:11" x14ac:dyDescent="0.3">
      <c r="A4" t="s">
        <v>2031</v>
      </c>
      <c r="B4" t="s">
        <v>2032</v>
      </c>
      <c r="C4" t="s">
        <v>22</v>
      </c>
      <c r="D4">
        <v>52</v>
      </c>
      <c r="E4" t="s">
        <v>2047</v>
      </c>
      <c r="F4" t="s">
        <v>18</v>
      </c>
      <c r="G4">
        <v>4</v>
      </c>
      <c r="H4">
        <v>162.63999999999999</v>
      </c>
      <c r="I4" t="s">
        <v>14</v>
      </c>
      <c r="J4" s="1">
        <v>44790</v>
      </c>
      <c r="K4" t="s">
        <v>34</v>
      </c>
    </row>
    <row r="5" spans="1:11" x14ac:dyDescent="0.3">
      <c r="A5" t="s">
        <v>16</v>
      </c>
      <c r="B5" t="s">
        <v>17</v>
      </c>
      <c r="C5" t="s">
        <v>12</v>
      </c>
      <c r="D5">
        <v>55</v>
      </c>
      <c r="E5" t="s">
        <v>2047</v>
      </c>
      <c r="F5" t="s">
        <v>18</v>
      </c>
      <c r="G5">
        <v>5</v>
      </c>
      <c r="H5">
        <v>203.3</v>
      </c>
      <c r="I5" t="s">
        <v>14</v>
      </c>
      <c r="J5" s="1">
        <v>44365</v>
      </c>
      <c r="K5" t="s">
        <v>19</v>
      </c>
    </row>
    <row r="6" spans="1:11" x14ac:dyDescent="0.3">
      <c r="A6" t="s">
        <v>2027</v>
      </c>
      <c r="B6" t="s">
        <v>2028</v>
      </c>
      <c r="C6" t="s">
        <v>22</v>
      </c>
      <c r="D6">
        <v>48</v>
      </c>
      <c r="E6" t="s">
        <v>2047</v>
      </c>
      <c r="F6" t="s">
        <v>18</v>
      </c>
      <c r="G6">
        <v>4</v>
      </c>
      <c r="H6">
        <v>162.63999999999999</v>
      </c>
      <c r="I6" t="s">
        <v>14</v>
      </c>
      <c r="J6" s="1">
        <v>44607</v>
      </c>
      <c r="K6" t="s">
        <v>84</v>
      </c>
    </row>
    <row r="7" spans="1:11" x14ac:dyDescent="0.3">
      <c r="A7" t="s">
        <v>2003</v>
      </c>
      <c r="B7" t="s">
        <v>2004</v>
      </c>
      <c r="C7" t="s">
        <v>22</v>
      </c>
      <c r="D7">
        <v>53</v>
      </c>
      <c r="E7" t="s">
        <v>2047</v>
      </c>
      <c r="F7" t="s">
        <v>37</v>
      </c>
      <c r="G7">
        <v>5</v>
      </c>
      <c r="H7">
        <v>26.15</v>
      </c>
      <c r="I7" t="s">
        <v>28</v>
      </c>
      <c r="J7" s="1">
        <v>44968</v>
      </c>
      <c r="K7" t="s">
        <v>43</v>
      </c>
    </row>
    <row r="8" spans="1:11" x14ac:dyDescent="0.3">
      <c r="A8" t="s">
        <v>1989</v>
      </c>
      <c r="B8" t="s">
        <v>1990</v>
      </c>
      <c r="C8" t="s">
        <v>22</v>
      </c>
      <c r="D8">
        <v>48</v>
      </c>
      <c r="E8" t="s">
        <v>2047</v>
      </c>
      <c r="F8" t="s">
        <v>13</v>
      </c>
      <c r="G8">
        <v>5</v>
      </c>
      <c r="H8">
        <v>1500.4</v>
      </c>
      <c r="I8" t="s">
        <v>14</v>
      </c>
      <c r="J8" s="1">
        <v>44360</v>
      </c>
      <c r="K8" t="s">
        <v>19</v>
      </c>
    </row>
    <row r="9" spans="1:11" x14ac:dyDescent="0.3">
      <c r="A9" t="s">
        <v>1979</v>
      </c>
      <c r="B9" t="s">
        <v>1980</v>
      </c>
      <c r="C9" t="s">
        <v>22</v>
      </c>
      <c r="D9">
        <v>55</v>
      </c>
      <c r="E9" t="s">
        <v>2047</v>
      </c>
      <c r="F9" t="s">
        <v>59</v>
      </c>
      <c r="G9">
        <v>5</v>
      </c>
      <c r="H9">
        <v>179.2</v>
      </c>
      <c r="I9" t="s">
        <v>14</v>
      </c>
      <c r="J9" s="1">
        <v>44456</v>
      </c>
      <c r="K9" t="s">
        <v>43</v>
      </c>
    </row>
    <row r="10" spans="1:11" x14ac:dyDescent="0.3">
      <c r="A10" t="s">
        <v>1967</v>
      </c>
      <c r="B10" t="s">
        <v>1968</v>
      </c>
      <c r="C10" t="s">
        <v>12</v>
      </c>
      <c r="D10">
        <v>60</v>
      </c>
      <c r="E10" t="s">
        <v>2047</v>
      </c>
      <c r="F10" t="s">
        <v>48</v>
      </c>
      <c r="G10">
        <v>2</v>
      </c>
      <c r="H10">
        <v>1200.3399999999999</v>
      </c>
      <c r="I10" t="s">
        <v>14</v>
      </c>
      <c r="J10" s="1">
        <v>44848</v>
      </c>
      <c r="K10" t="s">
        <v>53</v>
      </c>
    </row>
    <row r="11" spans="1:11" x14ac:dyDescent="0.3">
      <c r="A11" t="s">
        <v>38</v>
      </c>
      <c r="B11" t="s">
        <v>39</v>
      </c>
      <c r="C11" t="s">
        <v>12</v>
      </c>
      <c r="D11">
        <v>56</v>
      </c>
      <c r="E11" t="s">
        <v>2047</v>
      </c>
      <c r="F11" t="s">
        <v>37</v>
      </c>
      <c r="G11">
        <v>4</v>
      </c>
      <c r="H11">
        <v>20.92</v>
      </c>
      <c r="I11" t="s">
        <v>28</v>
      </c>
      <c r="J11" s="1">
        <v>44488</v>
      </c>
      <c r="K11" t="s">
        <v>40</v>
      </c>
    </row>
    <row r="12" spans="1:11" x14ac:dyDescent="0.3">
      <c r="A12" t="s">
        <v>1965</v>
      </c>
      <c r="B12" t="s">
        <v>1966</v>
      </c>
      <c r="C12" t="s">
        <v>22</v>
      </c>
      <c r="D12">
        <v>60</v>
      </c>
      <c r="E12" t="s">
        <v>2047</v>
      </c>
      <c r="F12" t="s">
        <v>13</v>
      </c>
      <c r="G12">
        <v>4</v>
      </c>
      <c r="H12">
        <v>1200.32</v>
      </c>
      <c r="I12" t="s">
        <v>28</v>
      </c>
      <c r="J12" s="1">
        <v>44389</v>
      </c>
      <c r="K12" t="s">
        <v>53</v>
      </c>
    </row>
    <row r="13" spans="1:11" x14ac:dyDescent="0.3">
      <c r="A13" t="s">
        <v>44</v>
      </c>
      <c r="B13" t="s">
        <v>45</v>
      </c>
      <c r="C13" t="s">
        <v>22</v>
      </c>
      <c r="D13">
        <v>50</v>
      </c>
      <c r="E13" t="s">
        <v>2047</v>
      </c>
      <c r="F13" t="s">
        <v>18</v>
      </c>
      <c r="G13">
        <v>3</v>
      </c>
      <c r="H13">
        <v>121.98</v>
      </c>
      <c r="I13" t="s">
        <v>14</v>
      </c>
      <c r="J13" s="1">
        <v>44766</v>
      </c>
      <c r="K13" t="s">
        <v>24</v>
      </c>
    </row>
    <row r="14" spans="1:11" x14ac:dyDescent="0.3">
      <c r="A14" t="s">
        <v>1963</v>
      </c>
      <c r="B14" t="s">
        <v>1964</v>
      </c>
      <c r="C14" t="s">
        <v>22</v>
      </c>
      <c r="D14">
        <v>57</v>
      </c>
      <c r="E14" t="s">
        <v>2047</v>
      </c>
      <c r="F14" t="s">
        <v>13</v>
      </c>
      <c r="G14">
        <v>4</v>
      </c>
      <c r="H14">
        <v>1200.32</v>
      </c>
      <c r="I14" t="s">
        <v>23</v>
      </c>
      <c r="J14" s="1">
        <v>44745</v>
      </c>
      <c r="K14" t="s">
        <v>84</v>
      </c>
    </row>
    <row r="15" spans="1:11" x14ac:dyDescent="0.3">
      <c r="A15" t="s">
        <v>1961</v>
      </c>
      <c r="B15" t="s">
        <v>1962</v>
      </c>
      <c r="C15" t="s">
        <v>22</v>
      </c>
      <c r="D15">
        <v>51</v>
      </c>
      <c r="E15" t="s">
        <v>2047</v>
      </c>
      <c r="F15" t="s">
        <v>48</v>
      </c>
      <c r="G15">
        <v>1</v>
      </c>
      <c r="H15">
        <v>600.16999999999996</v>
      </c>
      <c r="I15" t="s">
        <v>14</v>
      </c>
      <c r="J15" s="1">
        <v>44410</v>
      </c>
      <c r="K15" t="s">
        <v>34</v>
      </c>
    </row>
    <row r="16" spans="1:11" x14ac:dyDescent="0.3">
      <c r="A16" t="s">
        <v>1929</v>
      </c>
      <c r="B16" t="s">
        <v>1930</v>
      </c>
      <c r="C16" t="s">
        <v>22</v>
      </c>
      <c r="D16">
        <v>54</v>
      </c>
      <c r="E16" t="s">
        <v>2047</v>
      </c>
      <c r="F16" t="s">
        <v>13</v>
      </c>
      <c r="G16">
        <v>3</v>
      </c>
      <c r="H16">
        <v>900.24</v>
      </c>
      <c r="I16" t="s">
        <v>28</v>
      </c>
      <c r="J16" s="1">
        <v>44867</v>
      </c>
      <c r="K16" t="s">
        <v>84</v>
      </c>
    </row>
    <row r="17" spans="1:11" x14ac:dyDescent="0.3">
      <c r="A17" t="s">
        <v>54</v>
      </c>
      <c r="B17" t="s">
        <v>55</v>
      </c>
      <c r="C17" t="s">
        <v>22</v>
      </c>
      <c r="D17">
        <v>52</v>
      </c>
      <c r="E17" t="s">
        <v>2047</v>
      </c>
      <c r="F17" t="s">
        <v>56</v>
      </c>
      <c r="G17">
        <v>3</v>
      </c>
      <c r="H17">
        <v>35.19</v>
      </c>
      <c r="I17" t="s">
        <v>23</v>
      </c>
      <c r="J17" s="1">
        <v>44361</v>
      </c>
      <c r="K17" t="s">
        <v>34</v>
      </c>
    </row>
    <row r="18" spans="1:11" x14ac:dyDescent="0.3">
      <c r="A18" t="s">
        <v>57</v>
      </c>
      <c r="B18" t="s">
        <v>58</v>
      </c>
      <c r="C18" t="s">
        <v>22</v>
      </c>
      <c r="D18">
        <v>52</v>
      </c>
      <c r="E18" t="s">
        <v>2047</v>
      </c>
      <c r="F18" t="s">
        <v>59</v>
      </c>
      <c r="G18">
        <v>2</v>
      </c>
      <c r="H18">
        <v>71.680000000000007</v>
      </c>
      <c r="I18" t="s">
        <v>28</v>
      </c>
      <c r="J18" s="1">
        <v>44421</v>
      </c>
      <c r="K18" t="s">
        <v>60</v>
      </c>
    </row>
    <row r="19" spans="1:11" x14ac:dyDescent="0.3">
      <c r="A19" t="s">
        <v>1915</v>
      </c>
      <c r="B19" t="s">
        <v>1916</v>
      </c>
      <c r="C19" t="s">
        <v>22</v>
      </c>
      <c r="D19">
        <v>59</v>
      </c>
      <c r="E19" t="s">
        <v>2047</v>
      </c>
      <c r="F19" t="s">
        <v>18</v>
      </c>
      <c r="G19">
        <v>1</v>
      </c>
      <c r="H19">
        <v>40.659999999999997</v>
      </c>
      <c r="I19" t="s">
        <v>14</v>
      </c>
      <c r="J19" s="1">
        <v>44363</v>
      </c>
      <c r="K19" t="s">
        <v>24</v>
      </c>
    </row>
    <row r="20" spans="1:11" x14ac:dyDescent="0.3">
      <c r="A20" t="s">
        <v>1911</v>
      </c>
      <c r="B20" t="s">
        <v>1912</v>
      </c>
      <c r="C20" t="s">
        <v>12</v>
      </c>
      <c r="D20">
        <v>60</v>
      </c>
      <c r="E20" t="s">
        <v>2047</v>
      </c>
      <c r="F20" t="s">
        <v>18</v>
      </c>
      <c r="G20">
        <v>1</v>
      </c>
      <c r="H20">
        <v>40.659999999999997</v>
      </c>
      <c r="I20" t="s">
        <v>28</v>
      </c>
      <c r="J20" s="1">
        <v>44259</v>
      </c>
      <c r="K20" t="s">
        <v>24</v>
      </c>
    </row>
    <row r="21" spans="1:11" x14ac:dyDescent="0.3">
      <c r="A21" t="s">
        <v>65</v>
      </c>
      <c r="B21" t="s">
        <v>66</v>
      </c>
      <c r="C21" t="s">
        <v>12</v>
      </c>
      <c r="D21">
        <v>46</v>
      </c>
      <c r="E21" t="s">
        <v>2047</v>
      </c>
      <c r="F21" t="s">
        <v>37</v>
      </c>
      <c r="G21">
        <v>1</v>
      </c>
      <c r="H21">
        <v>5.23</v>
      </c>
      <c r="I21" t="s">
        <v>28</v>
      </c>
      <c r="J21" s="1">
        <v>44230</v>
      </c>
      <c r="K21" t="s">
        <v>15</v>
      </c>
    </row>
    <row r="22" spans="1:11" x14ac:dyDescent="0.3">
      <c r="A22" t="s">
        <v>67</v>
      </c>
      <c r="B22" t="s">
        <v>68</v>
      </c>
      <c r="C22" t="s">
        <v>12</v>
      </c>
      <c r="D22">
        <v>46</v>
      </c>
      <c r="E22" t="s">
        <v>2047</v>
      </c>
      <c r="F22" t="s">
        <v>27</v>
      </c>
      <c r="G22">
        <v>5</v>
      </c>
      <c r="H22">
        <v>75.75</v>
      </c>
      <c r="I22" t="s">
        <v>28</v>
      </c>
      <c r="J22" s="1">
        <v>44387</v>
      </c>
      <c r="K22" t="s">
        <v>24</v>
      </c>
    </row>
    <row r="23" spans="1:11" x14ac:dyDescent="0.3">
      <c r="A23" t="s">
        <v>69</v>
      </c>
      <c r="B23" t="s">
        <v>70</v>
      </c>
      <c r="C23" t="s">
        <v>12</v>
      </c>
      <c r="D23">
        <v>55</v>
      </c>
      <c r="E23" t="s">
        <v>2047</v>
      </c>
      <c r="F23" t="s">
        <v>59</v>
      </c>
      <c r="G23">
        <v>4</v>
      </c>
      <c r="H23">
        <v>143.36000000000001</v>
      </c>
      <c r="I23" t="s">
        <v>28</v>
      </c>
      <c r="J23" s="1">
        <v>44677</v>
      </c>
      <c r="K23" t="s">
        <v>60</v>
      </c>
    </row>
    <row r="24" spans="1:11" x14ac:dyDescent="0.3">
      <c r="A24" t="s">
        <v>1909</v>
      </c>
      <c r="B24" t="s">
        <v>1910</v>
      </c>
      <c r="C24" t="s">
        <v>22</v>
      </c>
      <c r="D24">
        <v>60</v>
      </c>
      <c r="E24" t="s">
        <v>2047</v>
      </c>
      <c r="F24" t="s">
        <v>37</v>
      </c>
      <c r="G24">
        <v>1</v>
      </c>
      <c r="H24">
        <v>5.23</v>
      </c>
      <c r="I24" t="s">
        <v>14</v>
      </c>
      <c r="J24" s="1">
        <v>44779</v>
      </c>
      <c r="K24" t="s">
        <v>73</v>
      </c>
    </row>
    <row r="25" spans="1:11" x14ac:dyDescent="0.3">
      <c r="A25" t="s">
        <v>1903</v>
      </c>
      <c r="B25" t="s">
        <v>1904</v>
      </c>
      <c r="C25" t="s">
        <v>12</v>
      </c>
      <c r="D25">
        <v>59</v>
      </c>
      <c r="E25" t="s">
        <v>2047</v>
      </c>
      <c r="F25" t="s">
        <v>13</v>
      </c>
      <c r="G25">
        <v>3</v>
      </c>
      <c r="H25">
        <v>900.24</v>
      </c>
      <c r="I25" t="s">
        <v>23</v>
      </c>
      <c r="J25" s="1">
        <v>44288</v>
      </c>
      <c r="K25" t="s">
        <v>34</v>
      </c>
    </row>
    <row r="26" spans="1:11" x14ac:dyDescent="0.3">
      <c r="A26" t="s">
        <v>1897</v>
      </c>
      <c r="B26" t="s">
        <v>1898</v>
      </c>
      <c r="C26" t="s">
        <v>12</v>
      </c>
      <c r="D26">
        <v>58</v>
      </c>
      <c r="E26" t="s">
        <v>2047</v>
      </c>
      <c r="F26" t="s">
        <v>59</v>
      </c>
      <c r="G26">
        <v>1</v>
      </c>
      <c r="H26">
        <v>35.840000000000003</v>
      </c>
      <c r="I26" t="s">
        <v>14</v>
      </c>
      <c r="J26" s="1">
        <v>44893</v>
      </c>
      <c r="K26" t="s">
        <v>19</v>
      </c>
    </row>
    <row r="27" spans="1:11" x14ac:dyDescent="0.3">
      <c r="A27" t="s">
        <v>1893</v>
      </c>
      <c r="B27" t="s">
        <v>1894</v>
      </c>
      <c r="C27" t="s">
        <v>22</v>
      </c>
      <c r="D27">
        <v>60</v>
      </c>
      <c r="E27" t="s">
        <v>2047</v>
      </c>
      <c r="F27" t="s">
        <v>13</v>
      </c>
      <c r="G27">
        <v>1</v>
      </c>
      <c r="H27">
        <v>300.08</v>
      </c>
      <c r="I27" t="s">
        <v>28</v>
      </c>
      <c r="J27" s="1">
        <v>44749</v>
      </c>
      <c r="K27" t="s">
        <v>53</v>
      </c>
    </row>
    <row r="28" spans="1:11" x14ac:dyDescent="0.3">
      <c r="A28" t="s">
        <v>1885</v>
      </c>
      <c r="B28" t="s">
        <v>1886</v>
      </c>
      <c r="C28" t="s">
        <v>22</v>
      </c>
      <c r="D28">
        <v>50</v>
      </c>
      <c r="E28" t="s">
        <v>2047</v>
      </c>
      <c r="F28" t="s">
        <v>13</v>
      </c>
      <c r="G28">
        <v>2</v>
      </c>
      <c r="H28">
        <v>600.16</v>
      </c>
      <c r="I28" t="s">
        <v>14</v>
      </c>
      <c r="J28" s="1">
        <v>44460</v>
      </c>
      <c r="K28" t="s">
        <v>24</v>
      </c>
    </row>
    <row r="29" spans="1:11" x14ac:dyDescent="0.3">
      <c r="A29" t="s">
        <v>82</v>
      </c>
      <c r="B29" t="s">
        <v>83</v>
      </c>
      <c r="C29" t="s">
        <v>12</v>
      </c>
      <c r="D29">
        <v>60</v>
      </c>
      <c r="E29" t="s">
        <v>2047</v>
      </c>
      <c r="F29" t="s">
        <v>13</v>
      </c>
      <c r="G29">
        <v>2</v>
      </c>
      <c r="H29">
        <v>600.16</v>
      </c>
      <c r="I29" t="s">
        <v>14</v>
      </c>
      <c r="J29" s="1">
        <v>44523</v>
      </c>
      <c r="K29" t="s">
        <v>84</v>
      </c>
    </row>
    <row r="30" spans="1:11" x14ac:dyDescent="0.3">
      <c r="A30" t="s">
        <v>1871</v>
      </c>
      <c r="B30" t="s">
        <v>1872</v>
      </c>
      <c r="C30" t="s">
        <v>22</v>
      </c>
      <c r="D30">
        <v>59</v>
      </c>
      <c r="E30" t="s">
        <v>2047</v>
      </c>
      <c r="F30" t="s">
        <v>48</v>
      </c>
      <c r="G30">
        <v>1</v>
      </c>
      <c r="H30">
        <v>600.16999999999996</v>
      </c>
      <c r="I30" t="s">
        <v>23</v>
      </c>
      <c r="J30" s="1">
        <v>44209</v>
      </c>
      <c r="K30" t="s">
        <v>43</v>
      </c>
    </row>
    <row r="31" spans="1:11" x14ac:dyDescent="0.3">
      <c r="A31" t="s">
        <v>87</v>
      </c>
      <c r="B31" t="s">
        <v>88</v>
      </c>
      <c r="C31" t="s">
        <v>12</v>
      </c>
      <c r="D31">
        <v>49</v>
      </c>
      <c r="E31" t="s">
        <v>2047</v>
      </c>
      <c r="F31" t="s">
        <v>13</v>
      </c>
      <c r="G31">
        <v>5</v>
      </c>
      <c r="H31">
        <v>1500.4</v>
      </c>
      <c r="I31" t="s">
        <v>14</v>
      </c>
      <c r="J31" s="1">
        <v>44516</v>
      </c>
      <c r="K31" t="s">
        <v>73</v>
      </c>
    </row>
    <row r="32" spans="1:11" x14ac:dyDescent="0.3">
      <c r="A32" t="s">
        <v>1869</v>
      </c>
      <c r="B32" t="s">
        <v>1870</v>
      </c>
      <c r="C32" t="s">
        <v>12</v>
      </c>
      <c r="D32">
        <v>51</v>
      </c>
      <c r="E32" t="s">
        <v>2047</v>
      </c>
      <c r="F32" t="s">
        <v>56</v>
      </c>
      <c r="G32">
        <v>3</v>
      </c>
      <c r="H32">
        <v>35.19</v>
      </c>
      <c r="I32" t="s">
        <v>23</v>
      </c>
      <c r="J32" s="1">
        <v>44629</v>
      </c>
      <c r="K32" t="s">
        <v>43</v>
      </c>
    </row>
    <row r="33" spans="1:11" x14ac:dyDescent="0.3">
      <c r="A33" t="s">
        <v>1865</v>
      </c>
      <c r="B33" t="s">
        <v>1866</v>
      </c>
      <c r="C33" t="s">
        <v>22</v>
      </c>
      <c r="D33">
        <v>48</v>
      </c>
      <c r="E33" t="s">
        <v>2047</v>
      </c>
      <c r="F33" t="s">
        <v>37</v>
      </c>
      <c r="G33">
        <v>5</v>
      </c>
      <c r="H33">
        <v>26.15</v>
      </c>
      <c r="I33" t="s">
        <v>14</v>
      </c>
      <c r="J33" s="1">
        <v>44501</v>
      </c>
      <c r="K33" t="s">
        <v>34</v>
      </c>
    </row>
    <row r="34" spans="1:11" x14ac:dyDescent="0.3">
      <c r="A34" t="s">
        <v>1851</v>
      </c>
      <c r="B34" t="s">
        <v>1852</v>
      </c>
      <c r="C34" t="s">
        <v>12</v>
      </c>
      <c r="D34">
        <v>53</v>
      </c>
      <c r="E34" t="s">
        <v>2047</v>
      </c>
      <c r="F34" t="s">
        <v>37</v>
      </c>
      <c r="G34">
        <v>2</v>
      </c>
      <c r="H34">
        <v>10.46</v>
      </c>
      <c r="I34" t="s">
        <v>14</v>
      </c>
      <c r="J34" s="1">
        <v>44860</v>
      </c>
      <c r="K34" t="s">
        <v>40</v>
      </c>
    </row>
    <row r="35" spans="1:11" x14ac:dyDescent="0.3">
      <c r="A35" t="s">
        <v>95</v>
      </c>
      <c r="B35" t="s">
        <v>96</v>
      </c>
      <c r="C35" t="s">
        <v>22</v>
      </c>
      <c r="D35">
        <v>46</v>
      </c>
      <c r="E35" t="s">
        <v>2047</v>
      </c>
      <c r="F35" t="s">
        <v>13</v>
      </c>
      <c r="G35">
        <v>3</v>
      </c>
      <c r="H35">
        <v>900.24</v>
      </c>
      <c r="I35" t="s">
        <v>23</v>
      </c>
      <c r="J35" s="1">
        <v>44817</v>
      </c>
      <c r="K35" t="s">
        <v>34</v>
      </c>
    </row>
    <row r="36" spans="1:11" x14ac:dyDescent="0.3">
      <c r="A36" t="s">
        <v>97</v>
      </c>
      <c r="B36" t="s">
        <v>98</v>
      </c>
      <c r="C36" t="s">
        <v>12</v>
      </c>
      <c r="D36">
        <v>48</v>
      </c>
      <c r="E36" t="s">
        <v>2047</v>
      </c>
      <c r="F36" t="s">
        <v>13</v>
      </c>
      <c r="G36">
        <v>1</v>
      </c>
      <c r="H36">
        <v>300.08</v>
      </c>
      <c r="I36" t="s">
        <v>28</v>
      </c>
      <c r="J36" s="1">
        <v>44227</v>
      </c>
      <c r="K36" t="s">
        <v>40</v>
      </c>
    </row>
    <row r="37" spans="1:11" x14ac:dyDescent="0.3">
      <c r="A37" t="s">
        <v>99</v>
      </c>
      <c r="B37" t="s">
        <v>100</v>
      </c>
      <c r="C37" t="s">
        <v>22</v>
      </c>
      <c r="D37">
        <v>60</v>
      </c>
      <c r="E37" t="s">
        <v>2047</v>
      </c>
      <c r="F37" t="s">
        <v>18</v>
      </c>
      <c r="G37">
        <v>3</v>
      </c>
      <c r="H37">
        <v>121.98</v>
      </c>
      <c r="I37" t="s">
        <v>14</v>
      </c>
      <c r="J37" s="1">
        <v>44883</v>
      </c>
      <c r="K37" t="s">
        <v>60</v>
      </c>
    </row>
    <row r="38" spans="1:11" x14ac:dyDescent="0.3">
      <c r="A38" t="s">
        <v>1849</v>
      </c>
      <c r="B38" t="s">
        <v>1850</v>
      </c>
      <c r="C38" t="s">
        <v>12</v>
      </c>
      <c r="D38">
        <v>57</v>
      </c>
      <c r="E38" t="s">
        <v>2047</v>
      </c>
      <c r="F38" t="s">
        <v>59</v>
      </c>
      <c r="G38">
        <v>1</v>
      </c>
      <c r="H38">
        <v>35.840000000000003</v>
      </c>
      <c r="I38" t="s">
        <v>28</v>
      </c>
      <c r="J38" s="1">
        <v>44208</v>
      </c>
      <c r="K38" t="s">
        <v>15</v>
      </c>
    </row>
    <row r="39" spans="1:11" x14ac:dyDescent="0.3">
      <c r="A39" t="s">
        <v>1839</v>
      </c>
      <c r="B39" t="s">
        <v>1840</v>
      </c>
      <c r="C39" t="s">
        <v>12</v>
      </c>
      <c r="D39">
        <v>52</v>
      </c>
      <c r="E39" t="s">
        <v>2047</v>
      </c>
      <c r="F39" t="s">
        <v>18</v>
      </c>
      <c r="G39">
        <v>2</v>
      </c>
      <c r="H39">
        <v>81.319999999999993</v>
      </c>
      <c r="I39" t="s">
        <v>28</v>
      </c>
      <c r="J39" s="1">
        <v>44938</v>
      </c>
      <c r="K39" t="s">
        <v>24</v>
      </c>
    </row>
    <row r="40" spans="1:11" x14ac:dyDescent="0.3">
      <c r="A40" t="s">
        <v>1831</v>
      </c>
      <c r="B40" t="s">
        <v>1832</v>
      </c>
      <c r="C40" t="s">
        <v>22</v>
      </c>
      <c r="D40">
        <v>56</v>
      </c>
      <c r="E40" t="s">
        <v>2047</v>
      </c>
      <c r="F40" t="s">
        <v>37</v>
      </c>
      <c r="G40">
        <v>1</v>
      </c>
      <c r="H40">
        <v>5.23</v>
      </c>
      <c r="I40" t="s">
        <v>14</v>
      </c>
      <c r="J40" s="1">
        <v>44962</v>
      </c>
      <c r="K40" t="s">
        <v>84</v>
      </c>
    </row>
    <row r="41" spans="1:11" x14ac:dyDescent="0.3">
      <c r="A41" t="s">
        <v>1829</v>
      </c>
      <c r="B41" t="s">
        <v>1830</v>
      </c>
      <c r="C41" t="s">
        <v>22</v>
      </c>
      <c r="D41">
        <v>51</v>
      </c>
      <c r="E41" t="s">
        <v>2047</v>
      </c>
      <c r="F41" t="s">
        <v>56</v>
      </c>
      <c r="G41">
        <v>5</v>
      </c>
      <c r="H41">
        <v>58.65</v>
      </c>
      <c r="I41" t="s">
        <v>14</v>
      </c>
      <c r="J41" s="1">
        <v>44501</v>
      </c>
      <c r="K41" t="s">
        <v>24</v>
      </c>
    </row>
    <row r="42" spans="1:11" x14ac:dyDescent="0.3">
      <c r="A42" t="s">
        <v>109</v>
      </c>
      <c r="B42" t="s">
        <v>110</v>
      </c>
      <c r="C42" t="s">
        <v>12</v>
      </c>
      <c r="D42">
        <v>52</v>
      </c>
      <c r="E42" t="s">
        <v>2047</v>
      </c>
      <c r="F42" t="s">
        <v>13</v>
      </c>
      <c r="G42">
        <v>2</v>
      </c>
      <c r="H42">
        <v>600.16</v>
      </c>
      <c r="I42" t="s">
        <v>14</v>
      </c>
      <c r="J42" s="1">
        <v>44366</v>
      </c>
      <c r="K42" t="s">
        <v>24</v>
      </c>
    </row>
    <row r="43" spans="1:11" x14ac:dyDescent="0.3">
      <c r="A43" t="s">
        <v>1809</v>
      </c>
      <c r="B43" t="s">
        <v>1810</v>
      </c>
      <c r="C43" t="s">
        <v>22</v>
      </c>
      <c r="D43">
        <v>58</v>
      </c>
      <c r="E43" t="s">
        <v>2047</v>
      </c>
      <c r="F43" t="s">
        <v>48</v>
      </c>
      <c r="G43">
        <v>2</v>
      </c>
      <c r="H43">
        <v>1200.3399999999999</v>
      </c>
      <c r="I43" t="s">
        <v>14</v>
      </c>
      <c r="J43" s="1">
        <v>44452</v>
      </c>
      <c r="K43" t="s">
        <v>15</v>
      </c>
    </row>
    <row r="44" spans="1:11" x14ac:dyDescent="0.3">
      <c r="A44" t="s">
        <v>1803</v>
      </c>
      <c r="B44" t="s">
        <v>1804</v>
      </c>
      <c r="C44" t="s">
        <v>22</v>
      </c>
      <c r="D44">
        <v>55</v>
      </c>
      <c r="E44" t="s">
        <v>2047</v>
      </c>
      <c r="F44" t="s">
        <v>48</v>
      </c>
      <c r="G44">
        <v>4</v>
      </c>
      <c r="H44">
        <v>2400.6799999999998</v>
      </c>
      <c r="I44" t="s">
        <v>23</v>
      </c>
      <c r="J44" s="1">
        <v>44979</v>
      </c>
      <c r="K44" t="s">
        <v>40</v>
      </c>
    </row>
    <row r="45" spans="1:11" x14ac:dyDescent="0.3">
      <c r="A45" t="s">
        <v>1801</v>
      </c>
      <c r="B45" t="s">
        <v>1802</v>
      </c>
      <c r="C45" t="s">
        <v>22</v>
      </c>
      <c r="D45">
        <v>48</v>
      </c>
      <c r="E45" t="s">
        <v>2047</v>
      </c>
      <c r="F45" t="s">
        <v>13</v>
      </c>
      <c r="G45">
        <v>5</v>
      </c>
      <c r="H45">
        <v>1500.4</v>
      </c>
      <c r="I45" t="s">
        <v>23</v>
      </c>
      <c r="J45" s="1">
        <v>44355</v>
      </c>
      <c r="K45" t="s">
        <v>34</v>
      </c>
    </row>
    <row r="46" spans="1:11" x14ac:dyDescent="0.3">
      <c r="A46" t="s">
        <v>117</v>
      </c>
      <c r="B46" t="s">
        <v>118</v>
      </c>
      <c r="C46" t="s">
        <v>12</v>
      </c>
      <c r="D46">
        <v>52</v>
      </c>
      <c r="E46" t="s">
        <v>2047</v>
      </c>
      <c r="F46" t="s">
        <v>48</v>
      </c>
      <c r="G46">
        <v>4</v>
      </c>
      <c r="H46">
        <v>2400.6799999999998</v>
      </c>
      <c r="I46" t="s">
        <v>14</v>
      </c>
      <c r="J46" s="1">
        <v>44667</v>
      </c>
      <c r="K46" t="s">
        <v>40</v>
      </c>
    </row>
    <row r="47" spans="1:11" x14ac:dyDescent="0.3">
      <c r="A47" t="s">
        <v>1799</v>
      </c>
      <c r="B47" t="s">
        <v>1800</v>
      </c>
      <c r="C47" t="s">
        <v>12</v>
      </c>
      <c r="D47">
        <v>50</v>
      </c>
      <c r="E47" t="s">
        <v>2047</v>
      </c>
      <c r="F47" t="s">
        <v>13</v>
      </c>
      <c r="G47">
        <v>5</v>
      </c>
      <c r="H47">
        <v>1500.4</v>
      </c>
      <c r="I47" t="s">
        <v>14</v>
      </c>
      <c r="J47" s="1">
        <v>44463</v>
      </c>
      <c r="K47" t="s">
        <v>40</v>
      </c>
    </row>
    <row r="48" spans="1:11" x14ac:dyDescent="0.3">
      <c r="A48" t="s">
        <v>1797</v>
      </c>
      <c r="B48" t="s">
        <v>1798</v>
      </c>
      <c r="C48" t="s">
        <v>12</v>
      </c>
      <c r="D48">
        <v>57</v>
      </c>
      <c r="E48" t="s">
        <v>2047</v>
      </c>
      <c r="F48" t="s">
        <v>31</v>
      </c>
      <c r="G48">
        <v>4</v>
      </c>
      <c r="H48">
        <v>4200</v>
      </c>
      <c r="I48" t="s">
        <v>14</v>
      </c>
      <c r="J48" s="1">
        <v>44753</v>
      </c>
      <c r="K48" t="s">
        <v>24</v>
      </c>
    </row>
    <row r="49" spans="1:11" x14ac:dyDescent="0.3">
      <c r="A49" t="s">
        <v>1791</v>
      </c>
      <c r="B49" t="s">
        <v>1792</v>
      </c>
      <c r="C49" t="s">
        <v>22</v>
      </c>
      <c r="D49">
        <v>54</v>
      </c>
      <c r="E49" t="s">
        <v>2047</v>
      </c>
      <c r="F49" t="s">
        <v>59</v>
      </c>
      <c r="G49">
        <v>5</v>
      </c>
      <c r="H49">
        <v>179.2</v>
      </c>
      <c r="I49" t="s">
        <v>14</v>
      </c>
      <c r="J49" s="1">
        <v>44820</v>
      </c>
      <c r="K49" t="s">
        <v>34</v>
      </c>
    </row>
    <row r="50" spans="1:11" x14ac:dyDescent="0.3">
      <c r="A50" t="s">
        <v>1789</v>
      </c>
      <c r="B50" t="s">
        <v>1790</v>
      </c>
      <c r="C50" t="s">
        <v>12</v>
      </c>
      <c r="D50">
        <v>57</v>
      </c>
      <c r="E50" t="s">
        <v>2047</v>
      </c>
      <c r="F50" t="s">
        <v>59</v>
      </c>
      <c r="G50">
        <v>3</v>
      </c>
      <c r="H50">
        <v>107.52</v>
      </c>
      <c r="I50" t="s">
        <v>28</v>
      </c>
      <c r="J50" s="1">
        <v>44751</v>
      </c>
      <c r="K50" t="s">
        <v>34</v>
      </c>
    </row>
    <row r="51" spans="1:11" x14ac:dyDescent="0.3">
      <c r="A51" t="s">
        <v>1775</v>
      </c>
      <c r="B51" t="s">
        <v>1776</v>
      </c>
      <c r="C51" t="s">
        <v>22</v>
      </c>
      <c r="D51">
        <v>57</v>
      </c>
      <c r="E51" t="s">
        <v>2047</v>
      </c>
      <c r="F51" t="s">
        <v>13</v>
      </c>
      <c r="G51">
        <v>4</v>
      </c>
      <c r="H51">
        <v>1200.32</v>
      </c>
      <c r="I51" t="s">
        <v>14</v>
      </c>
      <c r="J51" s="1">
        <v>44221</v>
      </c>
      <c r="K51" t="s">
        <v>24</v>
      </c>
    </row>
    <row r="52" spans="1:11" x14ac:dyDescent="0.3">
      <c r="A52" t="s">
        <v>1773</v>
      </c>
      <c r="B52" t="s">
        <v>1774</v>
      </c>
      <c r="C52" t="s">
        <v>12</v>
      </c>
      <c r="D52">
        <v>54</v>
      </c>
      <c r="E52" t="s">
        <v>2047</v>
      </c>
      <c r="F52" t="s">
        <v>13</v>
      </c>
      <c r="G52">
        <v>2</v>
      </c>
      <c r="H52">
        <v>600.16</v>
      </c>
      <c r="I52" t="s">
        <v>23</v>
      </c>
      <c r="J52" s="1">
        <v>44720</v>
      </c>
      <c r="K52" t="s">
        <v>34</v>
      </c>
    </row>
    <row r="53" spans="1:11" x14ac:dyDescent="0.3">
      <c r="A53" t="s">
        <v>1765</v>
      </c>
      <c r="B53" t="s">
        <v>1766</v>
      </c>
      <c r="C53" t="s">
        <v>12</v>
      </c>
      <c r="D53">
        <v>59</v>
      </c>
      <c r="E53" t="s">
        <v>2047</v>
      </c>
      <c r="F53" t="s">
        <v>18</v>
      </c>
      <c r="G53">
        <v>3</v>
      </c>
      <c r="H53">
        <v>121.98</v>
      </c>
      <c r="I53" t="s">
        <v>23</v>
      </c>
      <c r="J53" s="1">
        <v>44872</v>
      </c>
      <c r="K53" t="s">
        <v>24</v>
      </c>
    </row>
    <row r="54" spans="1:11" x14ac:dyDescent="0.3">
      <c r="A54" t="s">
        <v>1743</v>
      </c>
      <c r="B54" t="s">
        <v>1744</v>
      </c>
      <c r="C54" t="s">
        <v>12</v>
      </c>
      <c r="D54">
        <v>46</v>
      </c>
      <c r="E54" t="s">
        <v>2047</v>
      </c>
      <c r="F54" t="s">
        <v>27</v>
      </c>
      <c r="G54">
        <v>1</v>
      </c>
      <c r="H54">
        <v>15.15</v>
      </c>
      <c r="I54" t="s">
        <v>28</v>
      </c>
      <c r="J54" s="1">
        <v>44483</v>
      </c>
      <c r="K54" t="s">
        <v>43</v>
      </c>
    </row>
    <row r="55" spans="1:11" x14ac:dyDescent="0.3">
      <c r="A55" t="s">
        <v>1739</v>
      </c>
      <c r="B55" t="s">
        <v>1740</v>
      </c>
      <c r="C55" t="s">
        <v>12</v>
      </c>
      <c r="D55">
        <v>52</v>
      </c>
      <c r="E55" t="s">
        <v>2047</v>
      </c>
      <c r="F55" t="s">
        <v>18</v>
      </c>
      <c r="G55">
        <v>4</v>
      </c>
      <c r="H55">
        <v>162.63999999999999</v>
      </c>
      <c r="I55" t="s">
        <v>28</v>
      </c>
      <c r="J55" s="1">
        <v>44735</v>
      </c>
      <c r="K55" t="s">
        <v>24</v>
      </c>
    </row>
    <row r="56" spans="1:11" x14ac:dyDescent="0.3">
      <c r="A56" t="s">
        <v>1735</v>
      </c>
      <c r="B56" t="s">
        <v>1736</v>
      </c>
      <c r="C56" t="s">
        <v>22</v>
      </c>
      <c r="D56">
        <v>50</v>
      </c>
      <c r="E56" t="s">
        <v>2047</v>
      </c>
      <c r="F56" t="s">
        <v>13</v>
      </c>
      <c r="G56">
        <v>4</v>
      </c>
      <c r="H56">
        <v>1200.32</v>
      </c>
      <c r="I56" t="s">
        <v>14</v>
      </c>
      <c r="J56" s="1">
        <v>44209</v>
      </c>
      <c r="K56" t="s">
        <v>15</v>
      </c>
    </row>
    <row r="57" spans="1:11" x14ac:dyDescent="0.3">
      <c r="A57" t="s">
        <v>1731</v>
      </c>
      <c r="B57" t="s">
        <v>1732</v>
      </c>
      <c r="C57" t="s">
        <v>12</v>
      </c>
      <c r="D57">
        <v>55</v>
      </c>
      <c r="E57" t="s">
        <v>2047</v>
      </c>
      <c r="F57" t="s">
        <v>13</v>
      </c>
      <c r="G57">
        <v>1</v>
      </c>
      <c r="H57">
        <v>300.08</v>
      </c>
      <c r="I57" t="s">
        <v>28</v>
      </c>
      <c r="J57" s="1">
        <v>44987</v>
      </c>
      <c r="K57" t="s">
        <v>43</v>
      </c>
    </row>
    <row r="58" spans="1:11" x14ac:dyDescent="0.3">
      <c r="A58" t="s">
        <v>1729</v>
      </c>
      <c r="B58" t="s">
        <v>1730</v>
      </c>
      <c r="C58" t="s">
        <v>12</v>
      </c>
      <c r="D58">
        <v>46</v>
      </c>
      <c r="E58" t="s">
        <v>2047</v>
      </c>
      <c r="F58" t="s">
        <v>13</v>
      </c>
      <c r="G58">
        <v>5</v>
      </c>
      <c r="H58">
        <v>1500.4</v>
      </c>
      <c r="I58" t="s">
        <v>28</v>
      </c>
      <c r="J58" s="1">
        <v>44283</v>
      </c>
      <c r="K58" t="s">
        <v>24</v>
      </c>
    </row>
    <row r="59" spans="1:11" x14ac:dyDescent="0.3">
      <c r="A59" t="s">
        <v>1723</v>
      </c>
      <c r="B59" t="s">
        <v>1724</v>
      </c>
      <c r="C59" t="s">
        <v>12</v>
      </c>
      <c r="D59">
        <v>58</v>
      </c>
      <c r="E59" t="s">
        <v>2047</v>
      </c>
      <c r="F59" t="s">
        <v>18</v>
      </c>
      <c r="G59">
        <v>4</v>
      </c>
      <c r="H59">
        <v>162.63999999999999</v>
      </c>
      <c r="I59" t="s">
        <v>28</v>
      </c>
      <c r="J59" s="1">
        <v>44800</v>
      </c>
      <c r="K59" t="s">
        <v>40</v>
      </c>
    </row>
    <row r="60" spans="1:11" x14ac:dyDescent="0.3">
      <c r="A60" t="s">
        <v>145</v>
      </c>
      <c r="B60" t="s">
        <v>146</v>
      </c>
      <c r="C60" t="s">
        <v>12</v>
      </c>
      <c r="D60">
        <v>57</v>
      </c>
      <c r="E60" t="s">
        <v>2047</v>
      </c>
      <c r="F60" t="s">
        <v>13</v>
      </c>
      <c r="G60">
        <v>1</v>
      </c>
      <c r="H60">
        <v>300.08</v>
      </c>
      <c r="I60" t="s">
        <v>23</v>
      </c>
      <c r="J60" s="1">
        <v>44517</v>
      </c>
      <c r="K60" t="s">
        <v>24</v>
      </c>
    </row>
    <row r="61" spans="1:11" x14ac:dyDescent="0.3">
      <c r="A61" t="s">
        <v>1719</v>
      </c>
      <c r="B61" t="s">
        <v>1720</v>
      </c>
      <c r="C61" t="s">
        <v>22</v>
      </c>
      <c r="D61">
        <v>50</v>
      </c>
      <c r="E61" t="s">
        <v>2047</v>
      </c>
      <c r="F61" t="s">
        <v>48</v>
      </c>
      <c r="G61">
        <v>1</v>
      </c>
      <c r="H61">
        <v>600.16999999999996</v>
      </c>
      <c r="I61" t="s">
        <v>14</v>
      </c>
      <c r="J61" s="1">
        <v>44342</v>
      </c>
      <c r="K61" t="s">
        <v>84</v>
      </c>
    </row>
    <row r="62" spans="1:11" x14ac:dyDescent="0.3">
      <c r="A62" t="s">
        <v>1709</v>
      </c>
      <c r="B62" t="s">
        <v>1710</v>
      </c>
      <c r="C62" t="s">
        <v>12</v>
      </c>
      <c r="D62">
        <v>48</v>
      </c>
      <c r="E62" t="s">
        <v>2047</v>
      </c>
      <c r="F62" t="s">
        <v>13</v>
      </c>
      <c r="G62">
        <v>1</v>
      </c>
      <c r="H62">
        <v>300.08</v>
      </c>
      <c r="I62" t="s">
        <v>28</v>
      </c>
      <c r="J62" s="1">
        <v>44694</v>
      </c>
      <c r="K62" t="s">
        <v>24</v>
      </c>
    </row>
    <row r="63" spans="1:11" x14ac:dyDescent="0.3">
      <c r="A63" t="s">
        <v>151</v>
      </c>
      <c r="B63" t="s">
        <v>152</v>
      </c>
      <c r="C63" t="s">
        <v>22</v>
      </c>
      <c r="D63">
        <v>58</v>
      </c>
      <c r="E63" t="s">
        <v>2047</v>
      </c>
      <c r="F63" t="s">
        <v>18</v>
      </c>
      <c r="G63">
        <v>5</v>
      </c>
      <c r="H63">
        <v>203.3</v>
      </c>
      <c r="I63" t="s">
        <v>28</v>
      </c>
      <c r="J63" s="1">
        <v>44395</v>
      </c>
      <c r="K63" t="s">
        <v>73</v>
      </c>
    </row>
    <row r="64" spans="1:11" x14ac:dyDescent="0.3">
      <c r="A64" t="s">
        <v>1707</v>
      </c>
      <c r="B64" t="s">
        <v>1708</v>
      </c>
      <c r="C64" t="s">
        <v>22</v>
      </c>
      <c r="D64">
        <v>48</v>
      </c>
      <c r="E64" t="s">
        <v>2047</v>
      </c>
      <c r="F64" t="s">
        <v>37</v>
      </c>
      <c r="G64">
        <v>2</v>
      </c>
      <c r="H64">
        <v>10.46</v>
      </c>
      <c r="I64" t="s">
        <v>14</v>
      </c>
      <c r="J64" s="1">
        <v>44417</v>
      </c>
      <c r="K64" t="s">
        <v>34</v>
      </c>
    </row>
    <row r="65" spans="1:11" x14ac:dyDescent="0.3">
      <c r="A65" t="s">
        <v>1693</v>
      </c>
      <c r="B65" t="s">
        <v>1694</v>
      </c>
      <c r="C65" t="s">
        <v>22</v>
      </c>
      <c r="D65">
        <v>49</v>
      </c>
      <c r="E65" t="s">
        <v>2047</v>
      </c>
      <c r="F65" t="s">
        <v>13</v>
      </c>
      <c r="G65">
        <v>5</v>
      </c>
      <c r="H65">
        <v>1500.4</v>
      </c>
      <c r="I65" t="s">
        <v>14</v>
      </c>
      <c r="J65" s="1">
        <v>44360</v>
      </c>
      <c r="K65" t="s">
        <v>34</v>
      </c>
    </row>
    <row r="66" spans="1:11" x14ac:dyDescent="0.3">
      <c r="A66" t="s">
        <v>157</v>
      </c>
      <c r="B66" t="s">
        <v>158</v>
      </c>
      <c r="C66" t="s">
        <v>12</v>
      </c>
      <c r="D66">
        <v>57</v>
      </c>
      <c r="E66" t="s">
        <v>2047</v>
      </c>
      <c r="F66" t="s">
        <v>56</v>
      </c>
      <c r="G66">
        <v>5</v>
      </c>
      <c r="H66">
        <v>58.65</v>
      </c>
      <c r="I66" t="s">
        <v>14</v>
      </c>
      <c r="J66" s="1">
        <v>44275</v>
      </c>
      <c r="K66" t="s">
        <v>84</v>
      </c>
    </row>
    <row r="67" spans="1:11" x14ac:dyDescent="0.3">
      <c r="A67" t="s">
        <v>1691</v>
      </c>
      <c r="B67" t="s">
        <v>1692</v>
      </c>
      <c r="C67" t="s">
        <v>22</v>
      </c>
      <c r="D67">
        <v>48</v>
      </c>
      <c r="E67" t="s">
        <v>2047</v>
      </c>
      <c r="F67" t="s">
        <v>59</v>
      </c>
      <c r="G67">
        <v>5</v>
      </c>
      <c r="H67">
        <v>179.2</v>
      </c>
      <c r="I67" t="s">
        <v>14</v>
      </c>
      <c r="J67" s="1">
        <v>44820</v>
      </c>
      <c r="K67" t="s">
        <v>24</v>
      </c>
    </row>
    <row r="68" spans="1:11" x14ac:dyDescent="0.3">
      <c r="A68" t="s">
        <v>1671</v>
      </c>
      <c r="B68" t="s">
        <v>1672</v>
      </c>
      <c r="C68" t="s">
        <v>22</v>
      </c>
      <c r="D68">
        <v>55</v>
      </c>
      <c r="E68" t="s">
        <v>2047</v>
      </c>
      <c r="F68" t="s">
        <v>18</v>
      </c>
      <c r="G68">
        <v>3</v>
      </c>
      <c r="H68">
        <v>121.98</v>
      </c>
      <c r="I68" t="s">
        <v>28</v>
      </c>
      <c r="J68" s="1">
        <v>44254</v>
      </c>
      <c r="K68" t="s">
        <v>60</v>
      </c>
    </row>
    <row r="69" spans="1:11" x14ac:dyDescent="0.3">
      <c r="A69" t="s">
        <v>1667</v>
      </c>
      <c r="B69" t="s">
        <v>1668</v>
      </c>
      <c r="C69" t="s">
        <v>22</v>
      </c>
      <c r="D69">
        <v>46</v>
      </c>
      <c r="E69" t="s">
        <v>2047</v>
      </c>
      <c r="F69" t="s">
        <v>13</v>
      </c>
      <c r="G69">
        <v>4</v>
      </c>
      <c r="H69">
        <v>1200.32</v>
      </c>
      <c r="I69" t="s">
        <v>23</v>
      </c>
      <c r="J69" s="1">
        <v>44895</v>
      </c>
      <c r="K69" t="s">
        <v>34</v>
      </c>
    </row>
    <row r="70" spans="1:11" x14ac:dyDescent="0.3">
      <c r="A70" t="s">
        <v>165</v>
      </c>
      <c r="B70" t="s">
        <v>166</v>
      </c>
      <c r="C70" t="s">
        <v>22</v>
      </c>
      <c r="D70">
        <v>59</v>
      </c>
      <c r="E70" t="s">
        <v>2047</v>
      </c>
      <c r="F70" t="s">
        <v>13</v>
      </c>
      <c r="G70">
        <v>2</v>
      </c>
      <c r="H70">
        <v>600.16</v>
      </c>
      <c r="I70" t="s">
        <v>23</v>
      </c>
      <c r="J70" s="1">
        <v>44237</v>
      </c>
      <c r="K70" t="s">
        <v>34</v>
      </c>
    </row>
    <row r="71" spans="1:11" x14ac:dyDescent="0.3">
      <c r="A71" t="s">
        <v>167</v>
      </c>
      <c r="B71" t="s">
        <v>168</v>
      </c>
      <c r="C71" t="s">
        <v>22</v>
      </c>
      <c r="D71">
        <v>60</v>
      </c>
      <c r="E71" t="s">
        <v>2047</v>
      </c>
      <c r="F71" t="s">
        <v>56</v>
      </c>
      <c r="G71">
        <v>3</v>
      </c>
      <c r="H71">
        <v>35.19</v>
      </c>
      <c r="I71" t="s">
        <v>28</v>
      </c>
      <c r="J71" s="1">
        <v>44439</v>
      </c>
      <c r="K71" t="s">
        <v>43</v>
      </c>
    </row>
    <row r="72" spans="1:11" x14ac:dyDescent="0.3">
      <c r="A72" t="s">
        <v>1653</v>
      </c>
      <c r="B72" t="s">
        <v>1654</v>
      </c>
      <c r="C72" t="s">
        <v>22</v>
      </c>
      <c r="D72">
        <v>46</v>
      </c>
      <c r="E72" t="s">
        <v>2047</v>
      </c>
      <c r="F72" t="s">
        <v>48</v>
      </c>
      <c r="G72">
        <v>1</v>
      </c>
      <c r="H72">
        <v>600.16999999999996</v>
      </c>
      <c r="I72" t="s">
        <v>28</v>
      </c>
      <c r="J72" s="1">
        <v>44369</v>
      </c>
      <c r="K72" t="s">
        <v>43</v>
      </c>
    </row>
    <row r="73" spans="1:11" x14ac:dyDescent="0.3">
      <c r="A73" t="s">
        <v>1651</v>
      </c>
      <c r="B73" t="s">
        <v>1652</v>
      </c>
      <c r="C73" t="s">
        <v>22</v>
      </c>
      <c r="D73">
        <v>46</v>
      </c>
      <c r="E73" t="s">
        <v>2047</v>
      </c>
      <c r="F73" t="s">
        <v>37</v>
      </c>
      <c r="G73">
        <v>5</v>
      </c>
      <c r="H73">
        <v>26.15</v>
      </c>
      <c r="I73" t="s">
        <v>23</v>
      </c>
      <c r="J73" s="1">
        <v>44212</v>
      </c>
      <c r="K73" t="s">
        <v>43</v>
      </c>
    </row>
    <row r="74" spans="1:11" x14ac:dyDescent="0.3">
      <c r="A74" t="s">
        <v>1641</v>
      </c>
      <c r="B74" t="s">
        <v>1642</v>
      </c>
      <c r="C74" t="s">
        <v>22</v>
      </c>
      <c r="D74">
        <v>53</v>
      </c>
      <c r="E74" t="s">
        <v>2047</v>
      </c>
      <c r="F74" t="s">
        <v>37</v>
      </c>
      <c r="G74">
        <v>1</v>
      </c>
      <c r="H74">
        <v>5.23</v>
      </c>
      <c r="I74" t="s">
        <v>23</v>
      </c>
      <c r="J74" s="1">
        <v>44496</v>
      </c>
      <c r="K74" t="s">
        <v>43</v>
      </c>
    </row>
    <row r="75" spans="1:11" x14ac:dyDescent="0.3">
      <c r="A75" t="s">
        <v>1639</v>
      </c>
      <c r="B75" t="s">
        <v>1640</v>
      </c>
      <c r="C75" t="s">
        <v>12</v>
      </c>
      <c r="D75">
        <v>54</v>
      </c>
      <c r="E75" t="s">
        <v>2047</v>
      </c>
      <c r="F75" t="s">
        <v>13</v>
      </c>
      <c r="G75">
        <v>3</v>
      </c>
      <c r="H75">
        <v>900.24</v>
      </c>
      <c r="I75" t="s">
        <v>28</v>
      </c>
      <c r="J75" s="1">
        <v>44468</v>
      </c>
      <c r="K75" t="s">
        <v>84</v>
      </c>
    </row>
    <row r="76" spans="1:11" x14ac:dyDescent="0.3">
      <c r="A76" t="s">
        <v>1633</v>
      </c>
      <c r="B76" t="s">
        <v>1634</v>
      </c>
      <c r="C76" t="s">
        <v>12</v>
      </c>
      <c r="D76">
        <v>48</v>
      </c>
      <c r="E76" t="s">
        <v>2047</v>
      </c>
      <c r="F76" t="s">
        <v>13</v>
      </c>
      <c r="G76">
        <v>2</v>
      </c>
      <c r="H76">
        <v>600.16</v>
      </c>
      <c r="I76" t="s">
        <v>14</v>
      </c>
      <c r="J76" s="1">
        <v>44452</v>
      </c>
      <c r="K76" t="s">
        <v>34</v>
      </c>
    </row>
    <row r="77" spans="1:11" x14ac:dyDescent="0.3">
      <c r="A77" t="s">
        <v>1631</v>
      </c>
      <c r="B77" t="s">
        <v>1632</v>
      </c>
      <c r="C77" t="s">
        <v>12</v>
      </c>
      <c r="D77">
        <v>47</v>
      </c>
      <c r="E77" t="s">
        <v>2047</v>
      </c>
      <c r="F77" t="s">
        <v>13</v>
      </c>
      <c r="G77">
        <v>4</v>
      </c>
      <c r="H77">
        <v>1200.32</v>
      </c>
      <c r="I77" t="s">
        <v>23</v>
      </c>
      <c r="J77" s="1">
        <v>44706</v>
      </c>
      <c r="K77" t="s">
        <v>43</v>
      </c>
    </row>
    <row r="78" spans="1:11" x14ac:dyDescent="0.3">
      <c r="A78" t="s">
        <v>1625</v>
      </c>
      <c r="B78" t="s">
        <v>1626</v>
      </c>
      <c r="C78" t="s">
        <v>12</v>
      </c>
      <c r="D78">
        <v>56</v>
      </c>
      <c r="E78" t="s">
        <v>2047</v>
      </c>
      <c r="F78" t="s">
        <v>37</v>
      </c>
      <c r="G78">
        <v>2</v>
      </c>
      <c r="H78">
        <v>10.46</v>
      </c>
      <c r="I78" t="s">
        <v>23</v>
      </c>
      <c r="J78" s="1">
        <v>44525</v>
      </c>
      <c r="K78" t="s">
        <v>43</v>
      </c>
    </row>
    <row r="79" spans="1:11" x14ac:dyDescent="0.3">
      <c r="A79" t="s">
        <v>1623</v>
      </c>
      <c r="B79" t="s">
        <v>1624</v>
      </c>
      <c r="C79" t="s">
        <v>12</v>
      </c>
      <c r="D79">
        <v>57</v>
      </c>
      <c r="E79" t="s">
        <v>2047</v>
      </c>
      <c r="F79" t="s">
        <v>18</v>
      </c>
      <c r="G79">
        <v>5</v>
      </c>
      <c r="H79">
        <v>203.3</v>
      </c>
      <c r="I79" t="s">
        <v>14</v>
      </c>
      <c r="J79" s="1">
        <v>44337</v>
      </c>
      <c r="K79" t="s">
        <v>84</v>
      </c>
    </row>
    <row r="80" spans="1:11" x14ac:dyDescent="0.3">
      <c r="A80" t="s">
        <v>1609</v>
      </c>
      <c r="B80" t="s">
        <v>1610</v>
      </c>
      <c r="C80" t="s">
        <v>12</v>
      </c>
      <c r="D80">
        <v>60</v>
      </c>
      <c r="E80" t="s">
        <v>2047</v>
      </c>
      <c r="F80" t="s">
        <v>48</v>
      </c>
      <c r="G80">
        <v>5</v>
      </c>
      <c r="H80">
        <v>3000.85</v>
      </c>
      <c r="I80" t="s">
        <v>28</v>
      </c>
      <c r="J80" s="1">
        <v>44602</v>
      </c>
      <c r="K80" t="s">
        <v>24</v>
      </c>
    </row>
    <row r="81" spans="1:11" x14ac:dyDescent="0.3">
      <c r="A81" t="s">
        <v>1607</v>
      </c>
      <c r="B81" t="s">
        <v>1608</v>
      </c>
      <c r="C81" t="s">
        <v>22</v>
      </c>
      <c r="D81">
        <v>49</v>
      </c>
      <c r="E81" t="s">
        <v>2047</v>
      </c>
      <c r="F81" t="s">
        <v>13</v>
      </c>
      <c r="G81">
        <v>3</v>
      </c>
      <c r="H81">
        <v>900.24</v>
      </c>
      <c r="I81" t="s">
        <v>28</v>
      </c>
      <c r="J81" s="1">
        <v>44927</v>
      </c>
      <c r="K81" t="s">
        <v>43</v>
      </c>
    </row>
    <row r="82" spans="1:11" x14ac:dyDescent="0.3">
      <c r="A82" t="s">
        <v>1605</v>
      </c>
      <c r="B82" t="s">
        <v>1606</v>
      </c>
      <c r="C82" t="s">
        <v>22</v>
      </c>
      <c r="D82">
        <v>58</v>
      </c>
      <c r="E82" t="s">
        <v>2047</v>
      </c>
      <c r="F82" t="s">
        <v>13</v>
      </c>
      <c r="G82">
        <v>5</v>
      </c>
      <c r="H82">
        <v>1500.4</v>
      </c>
      <c r="I82" t="s">
        <v>14</v>
      </c>
      <c r="J82" s="1">
        <v>44772</v>
      </c>
      <c r="K82" t="s">
        <v>24</v>
      </c>
    </row>
    <row r="83" spans="1:11" x14ac:dyDescent="0.3">
      <c r="A83" t="s">
        <v>1603</v>
      </c>
      <c r="B83" t="s">
        <v>1604</v>
      </c>
      <c r="C83" t="s">
        <v>22</v>
      </c>
      <c r="D83">
        <v>55</v>
      </c>
      <c r="E83" t="s">
        <v>2047</v>
      </c>
      <c r="F83" t="s">
        <v>13</v>
      </c>
      <c r="G83">
        <v>4</v>
      </c>
      <c r="H83">
        <v>1200.32</v>
      </c>
      <c r="I83" t="s">
        <v>23</v>
      </c>
      <c r="J83" s="1">
        <v>44402</v>
      </c>
      <c r="K83" t="s">
        <v>53</v>
      </c>
    </row>
    <row r="84" spans="1:11" x14ac:dyDescent="0.3">
      <c r="A84" t="s">
        <v>1595</v>
      </c>
      <c r="B84" t="s">
        <v>1596</v>
      </c>
      <c r="C84" t="s">
        <v>22</v>
      </c>
      <c r="D84">
        <v>53</v>
      </c>
      <c r="E84" t="s">
        <v>2047</v>
      </c>
      <c r="F84" t="s">
        <v>48</v>
      </c>
      <c r="G84">
        <v>2</v>
      </c>
      <c r="H84">
        <v>1200.3399999999999</v>
      </c>
      <c r="I84" t="s">
        <v>14</v>
      </c>
      <c r="J84" s="1">
        <v>44829</v>
      </c>
      <c r="K84" t="s">
        <v>34</v>
      </c>
    </row>
    <row r="85" spans="1:11" x14ac:dyDescent="0.3">
      <c r="A85" t="s">
        <v>1591</v>
      </c>
      <c r="B85" t="s">
        <v>1592</v>
      </c>
      <c r="C85" t="s">
        <v>22</v>
      </c>
      <c r="D85">
        <v>54</v>
      </c>
      <c r="E85" t="s">
        <v>2047</v>
      </c>
      <c r="F85" t="s">
        <v>13</v>
      </c>
      <c r="G85">
        <v>2</v>
      </c>
      <c r="H85">
        <v>600.16</v>
      </c>
      <c r="I85" t="s">
        <v>14</v>
      </c>
      <c r="J85" s="1">
        <v>44517</v>
      </c>
      <c r="K85" t="s">
        <v>43</v>
      </c>
    </row>
    <row r="86" spans="1:11" x14ac:dyDescent="0.3">
      <c r="A86" t="s">
        <v>1581</v>
      </c>
      <c r="B86" t="s">
        <v>1582</v>
      </c>
      <c r="C86" t="s">
        <v>22</v>
      </c>
      <c r="D86">
        <v>47</v>
      </c>
      <c r="E86" t="s">
        <v>2047</v>
      </c>
      <c r="F86" t="s">
        <v>48</v>
      </c>
      <c r="G86">
        <v>5</v>
      </c>
      <c r="H86">
        <v>3000.85</v>
      </c>
      <c r="I86" t="s">
        <v>14</v>
      </c>
      <c r="J86" s="1">
        <v>44380</v>
      </c>
      <c r="K86" t="s">
        <v>34</v>
      </c>
    </row>
    <row r="87" spans="1:11" x14ac:dyDescent="0.3">
      <c r="A87" t="s">
        <v>1577</v>
      </c>
      <c r="B87" t="s">
        <v>1578</v>
      </c>
      <c r="C87" t="s">
        <v>22</v>
      </c>
      <c r="D87">
        <v>58</v>
      </c>
      <c r="E87" t="s">
        <v>2047</v>
      </c>
      <c r="F87" t="s">
        <v>13</v>
      </c>
      <c r="G87">
        <v>5</v>
      </c>
      <c r="H87">
        <v>1500.4</v>
      </c>
      <c r="I87" t="s">
        <v>28</v>
      </c>
      <c r="J87" s="1">
        <v>44750</v>
      </c>
      <c r="K87" t="s">
        <v>24</v>
      </c>
    </row>
    <row r="88" spans="1:11" x14ac:dyDescent="0.3">
      <c r="A88" t="s">
        <v>201</v>
      </c>
      <c r="B88" t="s">
        <v>202</v>
      </c>
      <c r="C88" t="s">
        <v>22</v>
      </c>
      <c r="D88">
        <v>57</v>
      </c>
      <c r="E88" t="s">
        <v>2047</v>
      </c>
      <c r="F88" t="s">
        <v>18</v>
      </c>
      <c r="G88">
        <v>4</v>
      </c>
      <c r="H88">
        <v>162.63999999999999</v>
      </c>
      <c r="I88" t="s">
        <v>23</v>
      </c>
      <c r="J88" s="1">
        <v>44906</v>
      </c>
      <c r="K88" t="s">
        <v>43</v>
      </c>
    </row>
    <row r="89" spans="1:11" x14ac:dyDescent="0.3">
      <c r="A89" t="s">
        <v>1567</v>
      </c>
      <c r="B89" t="s">
        <v>1568</v>
      </c>
      <c r="C89" t="s">
        <v>12</v>
      </c>
      <c r="D89">
        <v>56</v>
      </c>
      <c r="E89" t="s">
        <v>2047</v>
      </c>
      <c r="F89" t="s">
        <v>13</v>
      </c>
      <c r="G89">
        <v>3</v>
      </c>
      <c r="H89">
        <v>900.24</v>
      </c>
      <c r="I89" t="s">
        <v>28</v>
      </c>
      <c r="J89" s="1">
        <v>44377</v>
      </c>
      <c r="K89" t="s">
        <v>43</v>
      </c>
    </row>
    <row r="90" spans="1:11" x14ac:dyDescent="0.3">
      <c r="A90" t="s">
        <v>1565</v>
      </c>
      <c r="B90" t="s">
        <v>1566</v>
      </c>
      <c r="C90" t="s">
        <v>12</v>
      </c>
      <c r="D90">
        <v>53</v>
      </c>
      <c r="E90" t="s">
        <v>2047</v>
      </c>
      <c r="F90" t="s">
        <v>48</v>
      </c>
      <c r="G90">
        <v>4</v>
      </c>
      <c r="H90">
        <v>2400.6799999999998</v>
      </c>
      <c r="I90" t="s">
        <v>14</v>
      </c>
      <c r="J90" s="1">
        <v>44659</v>
      </c>
      <c r="K90" t="s">
        <v>34</v>
      </c>
    </row>
    <row r="91" spans="1:11" x14ac:dyDescent="0.3">
      <c r="A91" t="s">
        <v>1563</v>
      </c>
      <c r="B91" t="s">
        <v>1564</v>
      </c>
      <c r="C91" t="s">
        <v>22</v>
      </c>
      <c r="D91">
        <v>48</v>
      </c>
      <c r="E91" t="s">
        <v>2047</v>
      </c>
      <c r="F91" t="s">
        <v>18</v>
      </c>
      <c r="G91">
        <v>4</v>
      </c>
      <c r="H91">
        <v>162.63999999999999</v>
      </c>
      <c r="I91" t="s">
        <v>14</v>
      </c>
      <c r="J91" s="1">
        <v>44208</v>
      </c>
      <c r="K91" t="s">
        <v>34</v>
      </c>
    </row>
    <row r="92" spans="1:11" x14ac:dyDescent="0.3">
      <c r="A92" t="s">
        <v>1557</v>
      </c>
      <c r="B92" t="s">
        <v>1558</v>
      </c>
      <c r="C92" t="s">
        <v>22</v>
      </c>
      <c r="D92">
        <v>47</v>
      </c>
      <c r="E92" t="s">
        <v>2047</v>
      </c>
      <c r="F92" t="s">
        <v>13</v>
      </c>
      <c r="G92">
        <v>2</v>
      </c>
      <c r="H92">
        <v>600.16</v>
      </c>
      <c r="I92" t="s">
        <v>14</v>
      </c>
      <c r="J92" s="1">
        <v>44401</v>
      </c>
      <c r="K92" t="s">
        <v>19</v>
      </c>
    </row>
    <row r="93" spans="1:11" x14ac:dyDescent="0.3">
      <c r="A93" t="s">
        <v>1555</v>
      </c>
      <c r="B93" t="s">
        <v>1556</v>
      </c>
      <c r="C93" t="s">
        <v>22</v>
      </c>
      <c r="D93">
        <v>56</v>
      </c>
      <c r="E93" t="s">
        <v>2047</v>
      </c>
      <c r="F93" t="s">
        <v>56</v>
      </c>
      <c r="G93">
        <v>1</v>
      </c>
      <c r="H93">
        <v>11.73</v>
      </c>
      <c r="I93" t="s">
        <v>14</v>
      </c>
      <c r="J93" s="1">
        <v>44578</v>
      </c>
      <c r="K93" t="s">
        <v>24</v>
      </c>
    </row>
    <row r="94" spans="1:11" x14ac:dyDescent="0.3">
      <c r="A94" t="s">
        <v>1553</v>
      </c>
      <c r="B94" t="s">
        <v>1554</v>
      </c>
      <c r="C94" t="s">
        <v>22</v>
      </c>
      <c r="D94">
        <v>49</v>
      </c>
      <c r="E94" t="s">
        <v>2047</v>
      </c>
      <c r="F94" t="s">
        <v>48</v>
      </c>
      <c r="G94">
        <v>3</v>
      </c>
      <c r="H94">
        <v>1800.51</v>
      </c>
      <c r="I94" t="s">
        <v>14</v>
      </c>
      <c r="J94" s="1">
        <v>44888</v>
      </c>
      <c r="K94" t="s">
        <v>24</v>
      </c>
    </row>
    <row r="95" spans="1:11" x14ac:dyDescent="0.3">
      <c r="A95" t="s">
        <v>1511</v>
      </c>
      <c r="B95" t="s">
        <v>1512</v>
      </c>
      <c r="C95" t="s">
        <v>12</v>
      </c>
      <c r="D95">
        <v>46</v>
      </c>
      <c r="E95" t="s">
        <v>2047</v>
      </c>
      <c r="F95" t="s">
        <v>59</v>
      </c>
      <c r="G95">
        <v>3</v>
      </c>
      <c r="H95">
        <v>107.52</v>
      </c>
      <c r="I95" t="s">
        <v>14</v>
      </c>
      <c r="J95" s="1">
        <v>44206</v>
      </c>
      <c r="K95" t="s">
        <v>40</v>
      </c>
    </row>
    <row r="96" spans="1:11" x14ac:dyDescent="0.3">
      <c r="A96" t="s">
        <v>1505</v>
      </c>
      <c r="B96" t="s">
        <v>1506</v>
      </c>
      <c r="C96" t="s">
        <v>22</v>
      </c>
      <c r="D96">
        <v>50</v>
      </c>
      <c r="E96" t="s">
        <v>2047</v>
      </c>
      <c r="F96" t="s">
        <v>56</v>
      </c>
      <c r="G96">
        <v>3</v>
      </c>
      <c r="H96">
        <v>35.19</v>
      </c>
      <c r="I96" t="s">
        <v>14</v>
      </c>
      <c r="J96" s="1">
        <v>44563</v>
      </c>
      <c r="K96" t="s">
        <v>15</v>
      </c>
    </row>
    <row r="97" spans="1:11" x14ac:dyDescent="0.3">
      <c r="A97" t="s">
        <v>1495</v>
      </c>
      <c r="B97" t="s">
        <v>1496</v>
      </c>
      <c r="C97" t="s">
        <v>22</v>
      </c>
      <c r="D97">
        <v>49</v>
      </c>
      <c r="E97" t="s">
        <v>2047</v>
      </c>
      <c r="F97" t="s">
        <v>18</v>
      </c>
      <c r="G97">
        <v>2</v>
      </c>
      <c r="H97">
        <v>81.319999999999993</v>
      </c>
      <c r="I97" t="s">
        <v>23</v>
      </c>
      <c r="J97" s="1">
        <v>44650</v>
      </c>
      <c r="K97" t="s">
        <v>84</v>
      </c>
    </row>
    <row r="98" spans="1:11" x14ac:dyDescent="0.3">
      <c r="A98" t="s">
        <v>1493</v>
      </c>
      <c r="B98" t="s">
        <v>1494</v>
      </c>
      <c r="C98" t="s">
        <v>22</v>
      </c>
      <c r="D98">
        <v>47</v>
      </c>
      <c r="E98" t="s">
        <v>2047</v>
      </c>
      <c r="F98" t="s">
        <v>48</v>
      </c>
      <c r="G98">
        <v>4</v>
      </c>
      <c r="H98">
        <v>2400.6799999999998</v>
      </c>
      <c r="I98" t="s">
        <v>14</v>
      </c>
      <c r="J98" s="1">
        <v>44592</v>
      </c>
      <c r="K98" t="s">
        <v>40</v>
      </c>
    </row>
    <row r="99" spans="1:11" x14ac:dyDescent="0.3">
      <c r="A99" t="s">
        <v>223</v>
      </c>
      <c r="B99" t="s">
        <v>224</v>
      </c>
      <c r="C99" t="s">
        <v>12</v>
      </c>
      <c r="D99">
        <v>52</v>
      </c>
      <c r="E99" t="s">
        <v>2047</v>
      </c>
      <c r="F99" t="s">
        <v>37</v>
      </c>
      <c r="G99">
        <v>3</v>
      </c>
      <c r="H99">
        <v>15.69</v>
      </c>
      <c r="I99" t="s">
        <v>14</v>
      </c>
      <c r="J99" s="1">
        <v>44907</v>
      </c>
      <c r="K99" t="s">
        <v>84</v>
      </c>
    </row>
    <row r="100" spans="1:11" x14ac:dyDescent="0.3">
      <c r="A100" t="s">
        <v>1491</v>
      </c>
      <c r="B100" t="s">
        <v>1492</v>
      </c>
      <c r="C100" t="s">
        <v>22</v>
      </c>
      <c r="D100">
        <v>56</v>
      </c>
      <c r="E100" t="s">
        <v>2047</v>
      </c>
      <c r="F100" t="s">
        <v>13</v>
      </c>
      <c r="G100">
        <v>2</v>
      </c>
      <c r="H100">
        <v>600.16</v>
      </c>
      <c r="I100" t="s">
        <v>28</v>
      </c>
      <c r="J100" s="1">
        <v>44218</v>
      </c>
      <c r="K100" t="s">
        <v>84</v>
      </c>
    </row>
    <row r="101" spans="1:11" x14ac:dyDescent="0.3">
      <c r="A101" t="s">
        <v>1485</v>
      </c>
      <c r="B101" t="s">
        <v>1486</v>
      </c>
      <c r="C101" t="s">
        <v>22</v>
      </c>
      <c r="D101">
        <v>49</v>
      </c>
      <c r="E101" t="s">
        <v>2047</v>
      </c>
      <c r="F101" t="s">
        <v>13</v>
      </c>
      <c r="G101">
        <v>1</v>
      </c>
      <c r="H101">
        <v>300.08</v>
      </c>
      <c r="I101" t="s">
        <v>28</v>
      </c>
      <c r="J101" s="1">
        <v>44408</v>
      </c>
      <c r="K101" t="s">
        <v>73</v>
      </c>
    </row>
    <row r="102" spans="1:11" x14ac:dyDescent="0.3">
      <c r="A102" t="s">
        <v>229</v>
      </c>
      <c r="B102" t="s">
        <v>230</v>
      </c>
      <c r="C102" t="s">
        <v>22</v>
      </c>
      <c r="D102">
        <v>58</v>
      </c>
      <c r="E102" t="s">
        <v>2047</v>
      </c>
      <c r="F102" t="s">
        <v>13</v>
      </c>
      <c r="G102">
        <v>3</v>
      </c>
      <c r="H102">
        <v>900.24</v>
      </c>
      <c r="I102" t="s">
        <v>28</v>
      </c>
      <c r="J102" s="1">
        <v>44585</v>
      </c>
      <c r="K102" t="s">
        <v>43</v>
      </c>
    </row>
    <row r="103" spans="1:11" x14ac:dyDescent="0.3">
      <c r="A103" t="s">
        <v>1479</v>
      </c>
      <c r="B103" t="s">
        <v>1480</v>
      </c>
      <c r="C103" t="s">
        <v>22</v>
      </c>
      <c r="D103">
        <v>59</v>
      </c>
      <c r="E103" t="s">
        <v>2047</v>
      </c>
      <c r="F103" t="s">
        <v>31</v>
      </c>
      <c r="G103">
        <v>1</v>
      </c>
      <c r="H103">
        <v>1050</v>
      </c>
      <c r="I103" t="s">
        <v>14</v>
      </c>
      <c r="J103" s="1">
        <v>44279</v>
      </c>
      <c r="K103" t="s">
        <v>24</v>
      </c>
    </row>
    <row r="104" spans="1:11" x14ac:dyDescent="0.3">
      <c r="A104" t="s">
        <v>233</v>
      </c>
      <c r="B104" t="s">
        <v>234</v>
      </c>
      <c r="C104" t="s">
        <v>22</v>
      </c>
      <c r="D104">
        <v>46</v>
      </c>
      <c r="E104" t="s">
        <v>2047</v>
      </c>
      <c r="F104" t="s">
        <v>18</v>
      </c>
      <c r="G104">
        <v>4</v>
      </c>
      <c r="H104">
        <v>162.63999999999999</v>
      </c>
      <c r="I104" t="s">
        <v>14</v>
      </c>
      <c r="J104" s="1">
        <v>44673</v>
      </c>
      <c r="K104" t="s">
        <v>24</v>
      </c>
    </row>
    <row r="105" spans="1:11" x14ac:dyDescent="0.3">
      <c r="A105" t="s">
        <v>235</v>
      </c>
      <c r="B105" t="s">
        <v>236</v>
      </c>
      <c r="C105" t="s">
        <v>22</v>
      </c>
      <c r="D105">
        <v>55</v>
      </c>
      <c r="E105" t="s">
        <v>2047</v>
      </c>
      <c r="F105" t="s">
        <v>13</v>
      </c>
      <c r="G105">
        <v>4</v>
      </c>
      <c r="H105">
        <v>1200.32</v>
      </c>
      <c r="I105" t="s">
        <v>14</v>
      </c>
      <c r="J105" s="1">
        <v>44671</v>
      </c>
      <c r="K105" t="s">
        <v>40</v>
      </c>
    </row>
    <row r="106" spans="1:11" x14ac:dyDescent="0.3">
      <c r="A106" t="s">
        <v>1469</v>
      </c>
      <c r="B106" t="s">
        <v>1470</v>
      </c>
      <c r="C106" t="s">
        <v>12</v>
      </c>
      <c r="D106">
        <v>48</v>
      </c>
      <c r="E106" t="s">
        <v>2047</v>
      </c>
      <c r="F106" t="s">
        <v>13</v>
      </c>
      <c r="G106">
        <v>2</v>
      </c>
      <c r="H106">
        <v>600.16</v>
      </c>
      <c r="I106" t="s">
        <v>14</v>
      </c>
      <c r="J106" s="1">
        <v>44465</v>
      </c>
      <c r="K106" t="s">
        <v>60</v>
      </c>
    </row>
    <row r="107" spans="1:11" x14ac:dyDescent="0.3">
      <c r="A107" t="s">
        <v>1467</v>
      </c>
      <c r="B107" t="s">
        <v>1468</v>
      </c>
      <c r="C107" t="s">
        <v>22</v>
      </c>
      <c r="D107">
        <v>47</v>
      </c>
      <c r="E107" t="s">
        <v>2047</v>
      </c>
      <c r="F107" t="s">
        <v>48</v>
      </c>
      <c r="G107">
        <v>5</v>
      </c>
      <c r="H107">
        <v>3000.85</v>
      </c>
      <c r="I107" t="s">
        <v>28</v>
      </c>
      <c r="J107" s="1">
        <v>44311</v>
      </c>
      <c r="K107" t="s">
        <v>53</v>
      </c>
    </row>
    <row r="108" spans="1:11" x14ac:dyDescent="0.3">
      <c r="A108" t="s">
        <v>1463</v>
      </c>
      <c r="B108" t="s">
        <v>1464</v>
      </c>
      <c r="C108" t="s">
        <v>12</v>
      </c>
      <c r="D108">
        <v>58</v>
      </c>
      <c r="E108" t="s">
        <v>2047</v>
      </c>
      <c r="F108" t="s">
        <v>37</v>
      </c>
      <c r="G108">
        <v>4</v>
      </c>
      <c r="H108">
        <v>20.92</v>
      </c>
      <c r="I108" t="s">
        <v>28</v>
      </c>
      <c r="J108" s="1">
        <v>44287</v>
      </c>
      <c r="K108" t="s">
        <v>43</v>
      </c>
    </row>
    <row r="109" spans="1:11" x14ac:dyDescent="0.3">
      <c r="A109" t="s">
        <v>1451</v>
      </c>
      <c r="B109" t="s">
        <v>1452</v>
      </c>
      <c r="C109" t="s">
        <v>22</v>
      </c>
      <c r="D109">
        <v>57</v>
      </c>
      <c r="E109" t="s">
        <v>2047</v>
      </c>
      <c r="F109" t="s">
        <v>18</v>
      </c>
      <c r="G109">
        <v>1</v>
      </c>
      <c r="H109">
        <v>40.659999999999997</v>
      </c>
      <c r="I109" t="s">
        <v>28</v>
      </c>
      <c r="J109" s="1">
        <v>44796</v>
      </c>
      <c r="K109" t="s">
        <v>34</v>
      </c>
    </row>
    <row r="110" spans="1:11" x14ac:dyDescent="0.3">
      <c r="A110" t="s">
        <v>1447</v>
      </c>
      <c r="B110" t="s">
        <v>1448</v>
      </c>
      <c r="C110" t="s">
        <v>22</v>
      </c>
      <c r="D110">
        <v>60</v>
      </c>
      <c r="E110" t="s">
        <v>2047</v>
      </c>
      <c r="F110" t="s">
        <v>31</v>
      </c>
      <c r="G110">
        <v>4</v>
      </c>
      <c r="H110">
        <v>4200</v>
      </c>
      <c r="I110" t="s">
        <v>28</v>
      </c>
      <c r="J110" s="1">
        <v>44745</v>
      </c>
      <c r="K110" t="s">
        <v>60</v>
      </c>
    </row>
    <row r="111" spans="1:11" x14ac:dyDescent="0.3">
      <c r="A111" t="s">
        <v>247</v>
      </c>
      <c r="B111" t="s">
        <v>248</v>
      </c>
      <c r="C111" t="s">
        <v>22</v>
      </c>
      <c r="D111">
        <v>59</v>
      </c>
      <c r="E111" t="s">
        <v>2047</v>
      </c>
      <c r="F111" t="s">
        <v>59</v>
      </c>
      <c r="G111">
        <v>2</v>
      </c>
      <c r="H111">
        <v>71.680000000000007</v>
      </c>
      <c r="I111" t="s">
        <v>28</v>
      </c>
      <c r="J111" s="1">
        <v>44704</v>
      </c>
      <c r="K111" t="s">
        <v>53</v>
      </c>
    </row>
    <row r="112" spans="1:11" x14ac:dyDescent="0.3">
      <c r="A112" t="s">
        <v>1441</v>
      </c>
      <c r="B112" t="s">
        <v>1442</v>
      </c>
      <c r="C112" t="s">
        <v>12</v>
      </c>
      <c r="D112">
        <v>46</v>
      </c>
      <c r="E112" t="s">
        <v>2047</v>
      </c>
      <c r="F112" t="s">
        <v>37</v>
      </c>
      <c r="G112">
        <v>1</v>
      </c>
      <c r="H112">
        <v>5.23</v>
      </c>
      <c r="I112" t="s">
        <v>28</v>
      </c>
      <c r="J112" s="1">
        <v>44531</v>
      </c>
      <c r="K112" t="s">
        <v>43</v>
      </c>
    </row>
    <row r="113" spans="1:11" x14ac:dyDescent="0.3">
      <c r="A113" t="s">
        <v>1431</v>
      </c>
      <c r="B113" t="s">
        <v>1432</v>
      </c>
      <c r="C113" t="s">
        <v>12</v>
      </c>
      <c r="D113">
        <v>59</v>
      </c>
      <c r="E113" t="s">
        <v>2047</v>
      </c>
      <c r="F113" t="s">
        <v>59</v>
      </c>
      <c r="G113">
        <v>1</v>
      </c>
      <c r="H113">
        <v>35.840000000000003</v>
      </c>
      <c r="I113" t="s">
        <v>14</v>
      </c>
      <c r="J113" s="1">
        <v>44818</v>
      </c>
      <c r="K113" t="s">
        <v>24</v>
      </c>
    </row>
    <row r="114" spans="1:11" x14ac:dyDescent="0.3">
      <c r="A114" t="s">
        <v>1423</v>
      </c>
      <c r="B114" t="s">
        <v>1424</v>
      </c>
      <c r="C114" t="s">
        <v>22</v>
      </c>
      <c r="D114">
        <v>54</v>
      </c>
      <c r="E114" t="s">
        <v>2047</v>
      </c>
      <c r="F114" t="s">
        <v>59</v>
      </c>
      <c r="G114">
        <v>2</v>
      </c>
      <c r="H114">
        <v>71.680000000000007</v>
      </c>
      <c r="I114" t="s">
        <v>23</v>
      </c>
      <c r="J114" s="1">
        <v>44517</v>
      </c>
      <c r="K114" t="s">
        <v>84</v>
      </c>
    </row>
    <row r="115" spans="1:11" x14ac:dyDescent="0.3">
      <c r="A115" t="s">
        <v>1417</v>
      </c>
      <c r="B115" t="s">
        <v>1418</v>
      </c>
      <c r="C115" t="s">
        <v>22</v>
      </c>
      <c r="D115">
        <v>53</v>
      </c>
      <c r="E115" t="s">
        <v>2047</v>
      </c>
      <c r="F115" t="s">
        <v>37</v>
      </c>
      <c r="G115">
        <v>4</v>
      </c>
      <c r="H115">
        <v>20.92</v>
      </c>
      <c r="I115" t="s">
        <v>23</v>
      </c>
      <c r="J115" s="1">
        <v>44576</v>
      </c>
      <c r="K115" t="s">
        <v>73</v>
      </c>
    </row>
    <row r="116" spans="1:11" x14ac:dyDescent="0.3">
      <c r="A116" t="s">
        <v>1415</v>
      </c>
      <c r="B116" t="s">
        <v>1416</v>
      </c>
      <c r="C116" t="s">
        <v>22</v>
      </c>
      <c r="D116">
        <v>52</v>
      </c>
      <c r="E116" t="s">
        <v>2047</v>
      </c>
      <c r="F116" t="s">
        <v>59</v>
      </c>
      <c r="G116">
        <v>4</v>
      </c>
      <c r="H116">
        <v>143.36000000000001</v>
      </c>
      <c r="I116" t="s">
        <v>28</v>
      </c>
      <c r="J116" s="1">
        <v>44357</v>
      </c>
      <c r="K116" t="s">
        <v>73</v>
      </c>
    </row>
    <row r="117" spans="1:11" x14ac:dyDescent="0.3">
      <c r="A117" t="s">
        <v>1413</v>
      </c>
      <c r="B117" t="s">
        <v>1414</v>
      </c>
      <c r="C117" t="s">
        <v>12</v>
      </c>
      <c r="D117">
        <v>55</v>
      </c>
      <c r="E117" t="s">
        <v>2047</v>
      </c>
      <c r="F117" t="s">
        <v>27</v>
      </c>
      <c r="G117">
        <v>1</v>
      </c>
      <c r="H117">
        <v>15.15</v>
      </c>
      <c r="I117" t="s">
        <v>14</v>
      </c>
      <c r="J117" s="1">
        <v>44779</v>
      </c>
      <c r="K117" t="s">
        <v>43</v>
      </c>
    </row>
    <row r="118" spans="1:11" x14ac:dyDescent="0.3">
      <c r="A118" t="s">
        <v>1403</v>
      </c>
      <c r="B118" t="s">
        <v>1404</v>
      </c>
      <c r="C118" t="s">
        <v>12</v>
      </c>
      <c r="D118">
        <v>48</v>
      </c>
      <c r="E118" t="s">
        <v>2047</v>
      </c>
      <c r="F118" t="s">
        <v>18</v>
      </c>
      <c r="G118">
        <v>3</v>
      </c>
      <c r="H118">
        <v>121.98</v>
      </c>
      <c r="I118" t="s">
        <v>23</v>
      </c>
      <c r="J118" s="1">
        <v>44857</v>
      </c>
      <c r="K118" t="s">
        <v>43</v>
      </c>
    </row>
    <row r="119" spans="1:11" x14ac:dyDescent="0.3">
      <c r="A119" t="s">
        <v>263</v>
      </c>
      <c r="B119" t="s">
        <v>264</v>
      </c>
      <c r="C119" t="s">
        <v>22</v>
      </c>
      <c r="D119">
        <v>57</v>
      </c>
      <c r="E119" t="s">
        <v>2047</v>
      </c>
      <c r="F119" t="s">
        <v>13</v>
      </c>
      <c r="G119">
        <v>5</v>
      </c>
      <c r="H119">
        <v>1500.4</v>
      </c>
      <c r="I119" t="s">
        <v>14</v>
      </c>
      <c r="J119" s="1">
        <v>44859</v>
      </c>
      <c r="K119" t="s">
        <v>43</v>
      </c>
    </row>
    <row r="120" spans="1:11" x14ac:dyDescent="0.3">
      <c r="A120" t="s">
        <v>1401</v>
      </c>
      <c r="B120" t="s">
        <v>1402</v>
      </c>
      <c r="C120" t="s">
        <v>22</v>
      </c>
      <c r="D120">
        <v>53</v>
      </c>
      <c r="E120" t="s">
        <v>2047</v>
      </c>
      <c r="F120" t="s">
        <v>13</v>
      </c>
      <c r="G120">
        <v>4</v>
      </c>
      <c r="H120">
        <v>1200.32</v>
      </c>
      <c r="I120" t="s">
        <v>23</v>
      </c>
      <c r="J120" s="1">
        <v>44642</v>
      </c>
      <c r="K120" t="s">
        <v>24</v>
      </c>
    </row>
    <row r="121" spans="1:11" x14ac:dyDescent="0.3">
      <c r="A121" t="s">
        <v>1399</v>
      </c>
      <c r="B121" t="s">
        <v>1400</v>
      </c>
      <c r="C121" t="s">
        <v>22</v>
      </c>
      <c r="D121">
        <v>60</v>
      </c>
      <c r="E121" t="s">
        <v>2047</v>
      </c>
      <c r="F121" t="s">
        <v>13</v>
      </c>
      <c r="G121">
        <v>4</v>
      </c>
      <c r="H121">
        <v>1200.32</v>
      </c>
      <c r="I121" t="s">
        <v>28</v>
      </c>
      <c r="J121" s="1">
        <v>44576</v>
      </c>
      <c r="K121" t="s">
        <v>34</v>
      </c>
    </row>
    <row r="122" spans="1:11" x14ac:dyDescent="0.3">
      <c r="A122" t="s">
        <v>1377</v>
      </c>
      <c r="B122" t="s">
        <v>1378</v>
      </c>
      <c r="C122" t="s">
        <v>12</v>
      </c>
      <c r="D122">
        <v>50</v>
      </c>
      <c r="E122" t="s">
        <v>2047</v>
      </c>
      <c r="F122" t="s">
        <v>13</v>
      </c>
      <c r="G122">
        <v>5</v>
      </c>
      <c r="H122">
        <v>1500.4</v>
      </c>
      <c r="I122" t="s">
        <v>23</v>
      </c>
      <c r="J122" s="1">
        <v>44959</v>
      </c>
      <c r="K122" t="s">
        <v>34</v>
      </c>
    </row>
    <row r="123" spans="1:11" x14ac:dyDescent="0.3">
      <c r="A123" t="s">
        <v>271</v>
      </c>
      <c r="B123" t="s">
        <v>272</v>
      </c>
      <c r="C123" t="s">
        <v>22</v>
      </c>
      <c r="D123">
        <v>54</v>
      </c>
      <c r="E123" t="s">
        <v>2047</v>
      </c>
      <c r="F123" t="s">
        <v>13</v>
      </c>
      <c r="G123">
        <v>2</v>
      </c>
      <c r="H123">
        <v>600.16</v>
      </c>
      <c r="I123" t="s">
        <v>23</v>
      </c>
      <c r="J123" s="1">
        <v>44301</v>
      </c>
      <c r="K123" t="s">
        <v>40</v>
      </c>
    </row>
    <row r="124" spans="1:11" x14ac:dyDescent="0.3">
      <c r="A124" t="s">
        <v>273</v>
      </c>
      <c r="B124" t="s">
        <v>274</v>
      </c>
      <c r="C124" t="s">
        <v>22</v>
      </c>
      <c r="D124">
        <v>47</v>
      </c>
      <c r="E124" t="s">
        <v>2047</v>
      </c>
      <c r="F124" t="s">
        <v>13</v>
      </c>
      <c r="G124">
        <v>5</v>
      </c>
      <c r="H124">
        <v>1500.4</v>
      </c>
      <c r="I124" t="s">
        <v>28</v>
      </c>
      <c r="J124" s="1">
        <v>44335</v>
      </c>
      <c r="K124" t="s">
        <v>15</v>
      </c>
    </row>
    <row r="125" spans="1:11" x14ac:dyDescent="0.3">
      <c r="A125" t="s">
        <v>1337</v>
      </c>
      <c r="B125" t="s">
        <v>1338</v>
      </c>
      <c r="C125" t="s">
        <v>22</v>
      </c>
      <c r="D125">
        <v>50</v>
      </c>
      <c r="E125" t="s">
        <v>2047</v>
      </c>
      <c r="F125" t="s">
        <v>18</v>
      </c>
      <c r="G125">
        <v>1</v>
      </c>
      <c r="H125">
        <v>40.659999999999997</v>
      </c>
      <c r="I125" t="s">
        <v>23</v>
      </c>
      <c r="J125" s="1">
        <v>44678</v>
      </c>
      <c r="K125" t="s">
        <v>24</v>
      </c>
    </row>
    <row r="126" spans="1:11" x14ac:dyDescent="0.3">
      <c r="A126" t="s">
        <v>1333</v>
      </c>
      <c r="B126" t="s">
        <v>1334</v>
      </c>
      <c r="C126" t="s">
        <v>22</v>
      </c>
      <c r="D126">
        <v>56</v>
      </c>
      <c r="E126" t="s">
        <v>2047</v>
      </c>
      <c r="F126" t="s">
        <v>13</v>
      </c>
      <c r="G126">
        <v>2</v>
      </c>
      <c r="H126">
        <v>600.16</v>
      </c>
      <c r="I126" t="s">
        <v>14</v>
      </c>
      <c r="J126" s="1">
        <v>44329</v>
      </c>
      <c r="K126" t="s">
        <v>24</v>
      </c>
    </row>
    <row r="127" spans="1:11" x14ac:dyDescent="0.3">
      <c r="A127" t="s">
        <v>1329</v>
      </c>
      <c r="B127" t="s">
        <v>1330</v>
      </c>
      <c r="C127" t="s">
        <v>22</v>
      </c>
      <c r="D127">
        <v>58</v>
      </c>
      <c r="E127" t="s">
        <v>2047</v>
      </c>
      <c r="F127" t="s">
        <v>18</v>
      </c>
      <c r="G127">
        <v>4</v>
      </c>
      <c r="H127">
        <v>162.63999999999999</v>
      </c>
      <c r="I127" t="s">
        <v>14</v>
      </c>
      <c r="J127" s="1">
        <v>44609</v>
      </c>
      <c r="K127" t="s">
        <v>60</v>
      </c>
    </row>
    <row r="128" spans="1:11" x14ac:dyDescent="0.3">
      <c r="A128" t="s">
        <v>1319</v>
      </c>
      <c r="B128" t="s">
        <v>1320</v>
      </c>
      <c r="C128" t="s">
        <v>12</v>
      </c>
      <c r="D128">
        <v>50</v>
      </c>
      <c r="E128" t="s">
        <v>2047</v>
      </c>
      <c r="F128" t="s">
        <v>18</v>
      </c>
      <c r="G128">
        <v>3</v>
      </c>
      <c r="H128">
        <v>121.98</v>
      </c>
      <c r="I128" t="s">
        <v>14</v>
      </c>
      <c r="J128" s="1">
        <v>44429</v>
      </c>
      <c r="K128" t="s">
        <v>24</v>
      </c>
    </row>
    <row r="129" spans="1:11" x14ac:dyDescent="0.3">
      <c r="A129" t="s">
        <v>1315</v>
      </c>
      <c r="B129" t="s">
        <v>1316</v>
      </c>
      <c r="C129" t="s">
        <v>12</v>
      </c>
      <c r="D129">
        <v>58</v>
      </c>
      <c r="E129" t="s">
        <v>2047</v>
      </c>
      <c r="F129" t="s">
        <v>37</v>
      </c>
      <c r="G129">
        <v>1</v>
      </c>
      <c r="H129">
        <v>5.23</v>
      </c>
      <c r="I129" t="s">
        <v>14</v>
      </c>
      <c r="J129" s="1">
        <v>44335</v>
      </c>
      <c r="K129" t="s">
        <v>73</v>
      </c>
    </row>
    <row r="130" spans="1:11" x14ac:dyDescent="0.3">
      <c r="A130" t="s">
        <v>1313</v>
      </c>
      <c r="B130" t="s">
        <v>1314</v>
      </c>
      <c r="C130" t="s">
        <v>22</v>
      </c>
      <c r="D130">
        <v>58</v>
      </c>
      <c r="E130" t="s">
        <v>2047</v>
      </c>
      <c r="F130" t="s">
        <v>59</v>
      </c>
      <c r="G130">
        <v>1</v>
      </c>
      <c r="H130">
        <v>35.840000000000003</v>
      </c>
      <c r="I130" t="s">
        <v>14</v>
      </c>
      <c r="J130" s="1">
        <v>44855</v>
      </c>
      <c r="K130" t="s">
        <v>34</v>
      </c>
    </row>
    <row r="131" spans="1:11" x14ac:dyDescent="0.3">
      <c r="A131" t="s">
        <v>1309</v>
      </c>
      <c r="B131" t="s">
        <v>1310</v>
      </c>
      <c r="C131" t="s">
        <v>12</v>
      </c>
      <c r="D131">
        <v>51</v>
      </c>
      <c r="E131" t="s">
        <v>2047</v>
      </c>
      <c r="F131" t="s">
        <v>27</v>
      </c>
      <c r="G131">
        <v>3</v>
      </c>
      <c r="H131">
        <v>45.45</v>
      </c>
      <c r="I131" t="s">
        <v>28</v>
      </c>
      <c r="J131" s="1">
        <v>44818</v>
      </c>
      <c r="K131" t="s">
        <v>53</v>
      </c>
    </row>
    <row r="132" spans="1:11" x14ac:dyDescent="0.3">
      <c r="A132" t="s">
        <v>289</v>
      </c>
      <c r="B132" t="s">
        <v>290</v>
      </c>
      <c r="C132" t="s">
        <v>22</v>
      </c>
      <c r="D132">
        <v>46</v>
      </c>
      <c r="E132" t="s">
        <v>2047</v>
      </c>
      <c r="F132" t="s">
        <v>37</v>
      </c>
      <c r="G132">
        <v>5</v>
      </c>
      <c r="H132">
        <v>26.15</v>
      </c>
      <c r="I132" t="s">
        <v>14</v>
      </c>
      <c r="J132" s="1">
        <v>44593</v>
      </c>
      <c r="K132" t="s">
        <v>24</v>
      </c>
    </row>
    <row r="133" spans="1:11" x14ac:dyDescent="0.3">
      <c r="A133" t="s">
        <v>1295</v>
      </c>
      <c r="B133" t="s">
        <v>1296</v>
      </c>
      <c r="C133" t="s">
        <v>22</v>
      </c>
      <c r="D133">
        <v>47</v>
      </c>
      <c r="E133" t="s">
        <v>2047</v>
      </c>
      <c r="F133" t="s">
        <v>13</v>
      </c>
      <c r="G133">
        <v>5</v>
      </c>
      <c r="H133">
        <v>1500.4</v>
      </c>
      <c r="I133" t="s">
        <v>23</v>
      </c>
      <c r="J133" s="1">
        <v>44972</v>
      </c>
      <c r="K133" t="s">
        <v>53</v>
      </c>
    </row>
    <row r="134" spans="1:11" x14ac:dyDescent="0.3">
      <c r="A134" t="s">
        <v>1291</v>
      </c>
      <c r="B134" t="s">
        <v>1292</v>
      </c>
      <c r="C134" t="s">
        <v>22</v>
      </c>
      <c r="D134">
        <v>54</v>
      </c>
      <c r="E134" t="s">
        <v>2047</v>
      </c>
      <c r="F134" t="s">
        <v>37</v>
      </c>
      <c r="G134">
        <v>5</v>
      </c>
      <c r="H134">
        <v>26.15</v>
      </c>
      <c r="I134" t="s">
        <v>23</v>
      </c>
      <c r="J134" s="1">
        <v>44340</v>
      </c>
      <c r="K134" t="s">
        <v>43</v>
      </c>
    </row>
    <row r="135" spans="1:11" x14ac:dyDescent="0.3">
      <c r="A135" t="s">
        <v>1287</v>
      </c>
      <c r="B135" t="s">
        <v>1288</v>
      </c>
      <c r="C135" t="s">
        <v>22</v>
      </c>
      <c r="D135">
        <v>52</v>
      </c>
      <c r="E135" t="s">
        <v>2047</v>
      </c>
      <c r="F135" t="s">
        <v>48</v>
      </c>
      <c r="G135">
        <v>1</v>
      </c>
      <c r="H135">
        <v>600.16999999999996</v>
      </c>
      <c r="I135" t="s">
        <v>14</v>
      </c>
      <c r="J135" s="1">
        <v>44471</v>
      </c>
      <c r="K135" t="s">
        <v>40</v>
      </c>
    </row>
    <row r="136" spans="1:11" x14ac:dyDescent="0.3">
      <c r="A136" t="s">
        <v>1281</v>
      </c>
      <c r="B136" t="s">
        <v>1282</v>
      </c>
      <c r="C136" t="s">
        <v>12</v>
      </c>
      <c r="D136">
        <v>57</v>
      </c>
      <c r="E136" t="s">
        <v>2047</v>
      </c>
      <c r="F136" t="s">
        <v>59</v>
      </c>
      <c r="G136">
        <v>1</v>
      </c>
      <c r="H136">
        <v>35.840000000000003</v>
      </c>
      <c r="I136" t="s">
        <v>28</v>
      </c>
      <c r="J136" s="1">
        <v>44455</v>
      </c>
      <c r="K136" t="s">
        <v>40</v>
      </c>
    </row>
    <row r="137" spans="1:11" x14ac:dyDescent="0.3">
      <c r="A137" t="s">
        <v>1271</v>
      </c>
      <c r="B137" t="s">
        <v>1272</v>
      </c>
      <c r="C137" t="s">
        <v>12</v>
      </c>
      <c r="D137">
        <v>57</v>
      </c>
      <c r="E137" t="s">
        <v>2047</v>
      </c>
      <c r="F137" t="s">
        <v>59</v>
      </c>
      <c r="G137">
        <v>5</v>
      </c>
      <c r="H137">
        <v>179.2</v>
      </c>
      <c r="I137" t="s">
        <v>28</v>
      </c>
      <c r="J137" s="1">
        <v>44511</v>
      </c>
      <c r="K137" t="s">
        <v>24</v>
      </c>
    </row>
    <row r="138" spans="1:11" x14ac:dyDescent="0.3">
      <c r="A138" t="s">
        <v>1269</v>
      </c>
      <c r="B138" t="s">
        <v>1270</v>
      </c>
      <c r="C138" t="s">
        <v>22</v>
      </c>
      <c r="D138">
        <v>57</v>
      </c>
      <c r="E138" t="s">
        <v>2047</v>
      </c>
      <c r="F138" t="s">
        <v>13</v>
      </c>
      <c r="G138">
        <v>5</v>
      </c>
      <c r="H138">
        <v>1500.4</v>
      </c>
      <c r="I138" t="s">
        <v>28</v>
      </c>
      <c r="J138" s="1">
        <v>44595</v>
      </c>
      <c r="K138" t="s">
        <v>34</v>
      </c>
    </row>
    <row r="139" spans="1:11" x14ac:dyDescent="0.3">
      <c r="A139" t="s">
        <v>303</v>
      </c>
      <c r="B139" t="s">
        <v>304</v>
      </c>
      <c r="C139" t="s">
        <v>12</v>
      </c>
      <c r="D139">
        <v>56</v>
      </c>
      <c r="E139" t="s">
        <v>2047</v>
      </c>
      <c r="F139" t="s">
        <v>56</v>
      </c>
      <c r="G139">
        <v>2</v>
      </c>
      <c r="H139">
        <v>23.46</v>
      </c>
      <c r="I139" t="s">
        <v>23</v>
      </c>
      <c r="J139" s="1">
        <v>44936</v>
      </c>
      <c r="K139" t="s">
        <v>24</v>
      </c>
    </row>
    <row r="140" spans="1:11" x14ac:dyDescent="0.3">
      <c r="A140" t="s">
        <v>305</v>
      </c>
      <c r="B140" t="s">
        <v>306</v>
      </c>
      <c r="C140" t="s">
        <v>22</v>
      </c>
      <c r="D140">
        <v>46</v>
      </c>
      <c r="E140" t="s">
        <v>2047</v>
      </c>
      <c r="F140" t="s">
        <v>13</v>
      </c>
      <c r="G140">
        <v>3</v>
      </c>
      <c r="H140">
        <v>900.24</v>
      </c>
      <c r="I140" t="s">
        <v>14</v>
      </c>
      <c r="J140" s="1">
        <v>44759</v>
      </c>
      <c r="K140" t="s">
        <v>24</v>
      </c>
    </row>
    <row r="141" spans="1:11" x14ac:dyDescent="0.3">
      <c r="A141" t="s">
        <v>307</v>
      </c>
      <c r="B141" t="s">
        <v>308</v>
      </c>
      <c r="C141" t="s">
        <v>12</v>
      </c>
      <c r="D141">
        <v>53</v>
      </c>
      <c r="E141" t="s">
        <v>2047</v>
      </c>
      <c r="F141" t="s">
        <v>56</v>
      </c>
      <c r="G141">
        <v>2</v>
      </c>
      <c r="H141">
        <v>23.46</v>
      </c>
      <c r="I141" t="s">
        <v>28</v>
      </c>
      <c r="J141" s="1">
        <v>44672</v>
      </c>
      <c r="K141" t="s">
        <v>24</v>
      </c>
    </row>
    <row r="142" spans="1:11" x14ac:dyDescent="0.3">
      <c r="A142" t="s">
        <v>1267</v>
      </c>
      <c r="B142" t="s">
        <v>1268</v>
      </c>
      <c r="C142" t="s">
        <v>12</v>
      </c>
      <c r="D142">
        <v>56</v>
      </c>
      <c r="E142" t="s">
        <v>2047</v>
      </c>
      <c r="F142" t="s">
        <v>13</v>
      </c>
      <c r="G142">
        <v>3</v>
      </c>
      <c r="H142">
        <v>900.24</v>
      </c>
      <c r="I142" t="s">
        <v>28</v>
      </c>
      <c r="J142" s="1">
        <v>44950</v>
      </c>
      <c r="K142" t="s">
        <v>34</v>
      </c>
    </row>
    <row r="143" spans="1:11" x14ac:dyDescent="0.3">
      <c r="A143" t="s">
        <v>1263</v>
      </c>
      <c r="B143" t="s">
        <v>1264</v>
      </c>
      <c r="C143" t="s">
        <v>12</v>
      </c>
      <c r="D143">
        <v>52</v>
      </c>
      <c r="E143" t="s">
        <v>2047</v>
      </c>
      <c r="F143" t="s">
        <v>31</v>
      </c>
      <c r="G143">
        <v>3</v>
      </c>
      <c r="H143">
        <v>3150</v>
      </c>
      <c r="I143" t="s">
        <v>14</v>
      </c>
      <c r="J143" s="1">
        <v>44243</v>
      </c>
      <c r="K143" t="s">
        <v>34</v>
      </c>
    </row>
    <row r="144" spans="1:11" x14ac:dyDescent="0.3">
      <c r="A144" t="s">
        <v>313</v>
      </c>
      <c r="B144" t="s">
        <v>314</v>
      </c>
      <c r="C144" t="s">
        <v>22</v>
      </c>
      <c r="D144">
        <v>52</v>
      </c>
      <c r="E144" t="s">
        <v>2047</v>
      </c>
      <c r="F144" t="s">
        <v>18</v>
      </c>
      <c r="G144">
        <v>1</v>
      </c>
      <c r="H144">
        <v>40.659999999999997</v>
      </c>
      <c r="I144" t="s">
        <v>14</v>
      </c>
      <c r="J144" s="1">
        <v>44437</v>
      </c>
      <c r="K144" t="s">
        <v>60</v>
      </c>
    </row>
    <row r="145" spans="1:11" x14ac:dyDescent="0.3">
      <c r="A145" t="s">
        <v>315</v>
      </c>
      <c r="B145" t="s">
        <v>316</v>
      </c>
      <c r="C145" t="s">
        <v>22</v>
      </c>
      <c r="D145">
        <v>47</v>
      </c>
      <c r="E145" t="s">
        <v>2047</v>
      </c>
      <c r="F145" t="s">
        <v>18</v>
      </c>
      <c r="G145">
        <v>3</v>
      </c>
      <c r="H145">
        <v>121.98</v>
      </c>
      <c r="I145" t="s">
        <v>14</v>
      </c>
      <c r="J145" s="1">
        <v>44919</v>
      </c>
      <c r="K145" t="s">
        <v>84</v>
      </c>
    </row>
    <row r="146" spans="1:11" x14ac:dyDescent="0.3">
      <c r="A146" t="s">
        <v>1257</v>
      </c>
      <c r="B146" t="s">
        <v>1258</v>
      </c>
      <c r="C146" t="s">
        <v>12</v>
      </c>
      <c r="D146">
        <v>53</v>
      </c>
      <c r="E146" t="s">
        <v>2047</v>
      </c>
      <c r="F146" t="s">
        <v>27</v>
      </c>
      <c r="G146">
        <v>2</v>
      </c>
      <c r="H146">
        <v>30.3</v>
      </c>
      <c r="I146" t="s">
        <v>28</v>
      </c>
      <c r="J146" s="1">
        <v>44362</v>
      </c>
      <c r="K146" t="s">
        <v>24</v>
      </c>
    </row>
    <row r="147" spans="1:11" x14ac:dyDescent="0.3">
      <c r="A147" t="s">
        <v>1245</v>
      </c>
      <c r="B147" t="s">
        <v>1246</v>
      </c>
      <c r="C147" t="s">
        <v>22</v>
      </c>
      <c r="D147">
        <v>46</v>
      </c>
      <c r="E147" t="s">
        <v>2047</v>
      </c>
      <c r="F147" t="s">
        <v>18</v>
      </c>
      <c r="G147">
        <v>5</v>
      </c>
      <c r="H147">
        <v>203.3</v>
      </c>
      <c r="I147" t="s">
        <v>23</v>
      </c>
      <c r="J147" s="1">
        <v>44771</v>
      </c>
      <c r="K147" t="s">
        <v>40</v>
      </c>
    </row>
    <row r="148" spans="1:11" x14ac:dyDescent="0.3">
      <c r="A148" t="s">
        <v>1233</v>
      </c>
      <c r="B148" t="s">
        <v>1234</v>
      </c>
      <c r="C148" t="s">
        <v>12</v>
      </c>
      <c r="D148">
        <v>53</v>
      </c>
      <c r="E148" t="s">
        <v>2047</v>
      </c>
      <c r="F148" t="s">
        <v>37</v>
      </c>
      <c r="G148">
        <v>4</v>
      </c>
      <c r="H148">
        <v>20.92</v>
      </c>
      <c r="I148" t="s">
        <v>14</v>
      </c>
      <c r="J148" s="1">
        <v>44313</v>
      </c>
      <c r="K148" t="s">
        <v>84</v>
      </c>
    </row>
    <row r="149" spans="1:11" x14ac:dyDescent="0.3">
      <c r="A149" t="s">
        <v>1231</v>
      </c>
      <c r="B149" t="s">
        <v>1232</v>
      </c>
      <c r="C149" t="s">
        <v>12</v>
      </c>
      <c r="D149">
        <v>51</v>
      </c>
      <c r="E149" t="s">
        <v>2047</v>
      </c>
      <c r="F149" t="s">
        <v>37</v>
      </c>
      <c r="G149">
        <v>2</v>
      </c>
      <c r="H149">
        <v>10.46</v>
      </c>
      <c r="I149" t="s">
        <v>28</v>
      </c>
      <c r="J149" s="1">
        <v>44647</v>
      </c>
      <c r="K149" t="s">
        <v>43</v>
      </c>
    </row>
    <row r="150" spans="1:11" x14ac:dyDescent="0.3">
      <c r="A150" t="s">
        <v>1225</v>
      </c>
      <c r="B150" t="s">
        <v>1226</v>
      </c>
      <c r="C150" t="s">
        <v>22</v>
      </c>
      <c r="D150">
        <v>52</v>
      </c>
      <c r="E150" t="s">
        <v>2047</v>
      </c>
      <c r="F150" t="s">
        <v>48</v>
      </c>
      <c r="G150">
        <v>3</v>
      </c>
      <c r="H150">
        <v>1800.51</v>
      </c>
      <c r="I150" t="s">
        <v>14</v>
      </c>
      <c r="J150" s="1">
        <v>44609</v>
      </c>
      <c r="K150" t="s">
        <v>60</v>
      </c>
    </row>
    <row r="151" spans="1:11" x14ac:dyDescent="0.3">
      <c r="A151" t="s">
        <v>1219</v>
      </c>
      <c r="B151" t="s">
        <v>1220</v>
      </c>
      <c r="C151" t="s">
        <v>12</v>
      </c>
      <c r="D151">
        <v>57</v>
      </c>
      <c r="E151" t="s">
        <v>2047</v>
      </c>
      <c r="F151" t="s">
        <v>27</v>
      </c>
      <c r="G151">
        <v>4</v>
      </c>
      <c r="H151">
        <v>60.6</v>
      </c>
      <c r="I151" t="s">
        <v>28</v>
      </c>
      <c r="J151" s="1">
        <v>44304</v>
      </c>
      <c r="K151" t="s">
        <v>53</v>
      </c>
    </row>
    <row r="152" spans="1:11" x14ac:dyDescent="0.3">
      <c r="A152" t="s">
        <v>329</v>
      </c>
      <c r="B152" t="s">
        <v>330</v>
      </c>
      <c r="C152" t="s">
        <v>22</v>
      </c>
      <c r="D152">
        <v>56</v>
      </c>
      <c r="E152" t="s">
        <v>2047</v>
      </c>
      <c r="F152" t="s">
        <v>56</v>
      </c>
      <c r="G152">
        <v>5</v>
      </c>
      <c r="H152">
        <v>58.65</v>
      </c>
      <c r="I152" t="s">
        <v>14</v>
      </c>
      <c r="J152" s="1">
        <v>44808</v>
      </c>
      <c r="K152" t="s">
        <v>60</v>
      </c>
    </row>
    <row r="153" spans="1:11" x14ac:dyDescent="0.3">
      <c r="A153" t="s">
        <v>1215</v>
      </c>
      <c r="B153" t="s">
        <v>1216</v>
      </c>
      <c r="C153" t="s">
        <v>12</v>
      </c>
      <c r="D153">
        <v>52</v>
      </c>
      <c r="E153" t="s">
        <v>2047</v>
      </c>
      <c r="F153" t="s">
        <v>18</v>
      </c>
      <c r="G153">
        <v>2</v>
      </c>
      <c r="H153">
        <v>81.319999999999993</v>
      </c>
      <c r="I153" t="s">
        <v>28</v>
      </c>
      <c r="J153" s="1">
        <v>44365</v>
      </c>
      <c r="K153" t="s">
        <v>43</v>
      </c>
    </row>
    <row r="154" spans="1:11" x14ac:dyDescent="0.3">
      <c r="A154" t="s">
        <v>1205</v>
      </c>
      <c r="B154" t="s">
        <v>1206</v>
      </c>
      <c r="C154" t="s">
        <v>22</v>
      </c>
      <c r="D154">
        <v>47</v>
      </c>
      <c r="E154" t="s">
        <v>2047</v>
      </c>
      <c r="F154" t="s">
        <v>13</v>
      </c>
      <c r="G154">
        <v>1</v>
      </c>
      <c r="H154">
        <v>300.08</v>
      </c>
      <c r="I154" t="s">
        <v>14</v>
      </c>
      <c r="J154" s="1">
        <v>44941</v>
      </c>
      <c r="K154" t="s">
        <v>24</v>
      </c>
    </row>
    <row r="155" spans="1:11" x14ac:dyDescent="0.3">
      <c r="A155" t="s">
        <v>335</v>
      </c>
      <c r="B155" t="s">
        <v>336</v>
      </c>
      <c r="C155" t="s">
        <v>22</v>
      </c>
      <c r="D155">
        <v>46</v>
      </c>
      <c r="E155" t="s">
        <v>2047</v>
      </c>
      <c r="F155" t="s">
        <v>56</v>
      </c>
      <c r="G155">
        <v>5</v>
      </c>
      <c r="H155">
        <v>58.65</v>
      </c>
      <c r="I155" t="s">
        <v>14</v>
      </c>
      <c r="J155" s="1">
        <v>44200</v>
      </c>
      <c r="K155" t="s">
        <v>60</v>
      </c>
    </row>
    <row r="156" spans="1:11" x14ac:dyDescent="0.3">
      <c r="A156" t="s">
        <v>1181</v>
      </c>
      <c r="B156" t="s">
        <v>1182</v>
      </c>
      <c r="C156" t="s">
        <v>22</v>
      </c>
      <c r="D156">
        <v>52</v>
      </c>
      <c r="E156" t="s">
        <v>2047</v>
      </c>
      <c r="F156" t="s">
        <v>31</v>
      </c>
      <c r="G156">
        <v>2</v>
      </c>
      <c r="H156">
        <v>2100</v>
      </c>
      <c r="I156" t="s">
        <v>28</v>
      </c>
      <c r="J156" s="1">
        <v>44525</v>
      </c>
      <c r="K156" t="s">
        <v>84</v>
      </c>
    </row>
    <row r="157" spans="1:11" x14ac:dyDescent="0.3">
      <c r="A157" t="s">
        <v>339</v>
      </c>
      <c r="B157" t="s">
        <v>340</v>
      </c>
      <c r="C157" t="s">
        <v>22</v>
      </c>
      <c r="D157">
        <v>57</v>
      </c>
      <c r="E157" t="s">
        <v>2047</v>
      </c>
      <c r="F157" t="s">
        <v>13</v>
      </c>
      <c r="G157">
        <v>1</v>
      </c>
      <c r="H157">
        <v>300.08</v>
      </c>
      <c r="I157" t="s">
        <v>14</v>
      </c>
      <c r="J157" s="1">
        <v>44575</v>
      </c>
      <c r="K157" t="s">
        <v>24</v>
      </c>
    </row>
    <row r="158" spans="1:11" x14ac:dyDescent="0.3">
      <c r="A158" t="s">
        <v>1175</v>
      </c>
      <c r="B158" t="s">
        <v>1176</v>
      </c>
      <c r="C158" t="s">
        <v>22</v>
      </c>
      <c r="D158">
        <v>53</v>
      </c>
      <c r="E158" t="s">
        <v>2047</v>
      </c>
      <c r="F158" t="s">
        <v>37</v>
      </c>
      <c r="G158">
        <v>4</v>
      </c>
      <c r="H158">
        <v>20.92</v>
      </c>
      <c r="I158" t="s">
        <v>23</v>
      </c>
      <c r="J158" s="1">
        <v>44746</v>
      </c>
      <c r="K158" t="s">
        <v>84</v>
      </c>
    </row>
    <row r="159" spans="1:11" x14ac:dyDescent="0.3">
      <c r="A159" t="s">
        <v>1171</v>
      </c>
      <c r="B159" t="s">
        <v>1172</v>
      </c>
      <c r="C159" t="s">
        <v>22</v>
      </c>
      <c r="D159">
        <v>59</v>
      </c>
      <c r="E159" t="s">
        <v>2047</v>
      </c>
      <c r="F159" t="s">
        <v>59</v>
      </c>
      <c r="G159">
        <v>3</v>
      </c>
      <c r="H159">
        <v>107.52</v>
      </c>
      <c r="I159" t="s">
        <v>14</v>
      </c>
      <c r="J159" s="1">
        <v>44729</v>
      </c>
      <c r="K159" t="s">
        <v>60</v>
      </c>
    </row>
    <row r="160" spans="1:11" x14ac:dyDescent="0.3">
      <c r="A160" t="s">
        <v>1163</v>
      </c>
      <c r="B160" t="s">
        <v>1164</v>
      </c>
      <c r="C160" t="s">
        <v>22</v>
      </c>
      <c r="D160">
        <v>59</v>
      </c>
      <c r="E160" t="s">
        <v>2047</v>
      </c>
      <c r="F160" t="s">
        <v>31</v>
      </c>
      <c r="G160">
        <v>3</v>
      </c>
      <c r="H160">
        <v>3150</v>
      </c>
      <c r="I160" t="s">
        <v>28</v>
      </c>
      <c r="J160" s="1">
        <v>44699</v>
      </c>
      <c r="K160" t="s">
        <v>19</v>
      </c>
    </row>
    <row r="161" spans="1:11" x14ac:dyDescent="0.3">
      <c r="A161" t="s">
        <v>347</v>
      </c>
      <c r="B161" t="s">
        <v>348</v>
      </c>
      <c r="C161" t="s">
        <v>22</v>
      </c>
      <c r="D161">
        <v>51</v>
      </c>
      <c r="E161" t="s">
        <v>2047</v>
      </c>
      <c r="F161" t="s">
        <v>27</v>
      </c>
      <c r="G161">
        <v>5</v>
      </c>
      <c r="H161">
        <v>75.75</v>
      </c>
      <c r="I161" t="s">
        <v>23</v>
      </c>
      <c r="J161" s="1">
        <v>44197</v>
      </c>
      <c r="K161" t="s">
        <v>24</v>
      </c>
    </row>
    <row r="162" spans="1:11" x14ac:dyDescent="0.3">
      <c r="A162" t="s">
        <v>349</v>
      </c>
      <c r="B162" t="s">
        <v>350</v>
      </c>
      <c r="C162" t="s">
        <v>12</v>
      </c>
      <c r="D162">
        <v>50</v>
      </c>
      <c r="E162" t="s">
        <v>2047</v>
      </c>
      <c r="F162" t="s">
        <v>13</v>
      </c>
      <c r="G162">
        <v>1</v>
      </c>
      <c r="H162">
        <v>300.08</v>
      </c>
      <c r="I162" t="s">
        <v>23</v>
      </c>
      <c r="J162" s="1">
        <v>44222</v>
      </c>
      <c r="K162" t="s">
        <v>24</v>
      </c>
    </row>
    <row r="163" spans="1:11" x14ac:dyDescent="0.3">
      <c r="A163" t="s">
        <v>1147</v>
      </c>
      <c r="B163" t="s">
        <v>1148</v>
      </c>
      <c r="C163" t="s">
        <v>22</v>
      </c>
      <c r="D163">
        <v>56</v>
      </c>
      <c r="E163" t="s">
        <v>2047</v>
      </c>
      <c r="F163" t="s">
        <v>18</v>
      </c>
      <c r="G163">
        <v>3</v>
      </c>
      <c r="H163">
        <v>121.98</v>
      </c>
      <c r="I163" t="s">
        <v>28</v>
      </c>
      <c r="J163" s="1">
        <v>44585</v>
      </c>
      <c r="K163" t="s">
        <v>24</v>
      </c>
    </row>
    <row r="164" spans="1:11" x14ac:dyDescent="0.3">
      <c r="A164" t="s">
        <v>353</v>
      </c>
      <c r="B164" t="s">
        <v>354</v>
      </c>
      <c r="C164" t="s">
        <v>12</v>
      </c>
      <c r="D164">
        <v>57</v>
      </c>
      <c r="E164" t="s">
        <v>2047</v>
      </c>
      <c r="F164" t="s">
        <v>48</v>
      </c>
      <c r="G164">
        <v>4</v>
      </c>
      <c r="H164">
        <v>2400.6799999999998</v>
      </c>
      <c r="I164" t="s">
        <v>28</v>
      </c>
      <c r="J164" s="1">
        <v>44284</v>
      </c>
      <c r="K164" t="s">
        <v>43</v>
      </c>
    </row>
    <row r="165" spans="1:11" x14ac:dyDescent="0.3">
      <c r="A165" t="s">
        <v>355</v>
      </c>
      <c r="B165" t="s">
        <v>356</v>
      </c>
      <c r="C165" t="s">
        <v>12</v>
      </c>
      <c r="D165">
        <v>56</v>
      </c>
      <c r="E165" t="s">
        <v>2047</v>
      </c>
      <c r="F165" t="s">
        <v>59</v>
      </c>
      <c r="G165">
        <v>3</v>
      </c>
      <c r="H165">
        <v>107.52</v>
      </c>
      <c r="I165" t="s">
        <v>23</v>
      </c>
      <c r="J165" s="1">
        <v>44549</v>
      </c>
      <c r="K165" t="s">
        <v>34</v>
      </c>
    </row>
    <row r="166" spans="1:11" x14ac:dyDescent="0.3">
      <c r="A166" t="s">
        <v>357</v>
      </c>
      <c r="B166" t="s">
        <v>358</v>
      </c>
      <c r="C166" t="s">
        <v>22</v>
      </c>
      <c r="D166">
        <v>51</v>
      </c>
      <c r="E166" t="s">
        <v>2047</v>
      </c>
      <c r="F166" t="s">
        <v>13</v>
      </c>
      <c r="G166">
        <v>2</v>
      </c>
      <c r="H166">
        <v>600.16</v>
      </c>
      <c r="I166" t="s">
        <v>14</v>
      </c>
      <c r="J166" s="1">
        <v>44526</v>
      </c>
      <c r="K166" t="s">
        <v>34</v>
      </c>
    </row>
    <row r="167" spans="1:11" x14ac:dyDescent="0.3">
      <c r="A167" t="s">
        <v>1141</v>
      </c>
      <c r="B167" t="s">
        <v>1142</v>
      </c>
      <c r="C167" t="s">
        <v>22</v>
      </c>
      <c r="D167">
        <v>53</v>
      </c>
      <c r="E167" t="s">
        <v>2047</v>
      </c>
      <c r="F167" t="s">
        <v>13</v>
      </c>
      <c r="G167">
        <v>3</v>
      </c>
      <c r="H167">
        <v>900.24</v>
      </c>
      <c r="I167" t="s">
        <v>23</v>
      </c>
      <c r="J167" s="1">
        <v>44246</v>
      </c>
      <c r="K167" t="s">
        <v>34</v>
      </c>
    </row>
    <row r="168" spans="1:11" x14ac:dyDescent="0.3">
      <c r="A168" t="s">
        <v>1139</v>
      </c>
      <c r="B168" t="s">
        <v>1140</v>
      </c>
      <c r="C168" t="s">
        <v>22</v>
      </c>
      <c r="D168">
        <v>53</v>
      </c>
      <c r="E168" t="s">
        <v>2047</v>
      </c>
      <c r="F168" t="s">
        <v>13</v>
      </c>
      <c r="G168">
        <v>4</v>
      </c>
      <c r="H168">
        <v>1200.32</v>
      </c>
      <c r="I168" t="s">
        <v>23</v>
      </c>
      <c r="J168" s="1">
        <v>44463</v>
      </c>
      <c r="K168" t="s">
        <v>43</v>
      </c>
    </row>
    <row r="169" spans="1:11" x14ac:dyDescent="0.3">
      <c r="A169" t="s">
        <v>1131</v>
      </c>
      <c r="B169" t="s">
        <v>1132</v>
      </c>
      <c r="C169" t="s">
        <v>12</v>
      </c>
      <c r="D169">
        <v>48</v>
      </c>
      <c r="E169" t="s">
        <v>2047</v>
      </c>
      <c r="F169" t="s">
        <v>18</v>
      </c>
      <c r="G169">
        <v>3</v>
      </c>
      <c r="H169">
        <v>121.98</v>
      </c>
      <c r="I169" t="s">
        <v>14</v>
      </c>
      <c r="J169" s="1">
        <v>44651</v>
      </c>
      <c r="K169" t="s">
        <v>34</v>
      </c>
    </row>
    <row r="170" spans="1:11" x14ac:dyDescent="0.3">
      <c r="A170" t="s">
        <v>1123</v>
      </c>
      <c r="B170" t="s">
        <v>1124</v>
      </c>
      <c r="C170" t="s">
        <v>12</v>
      </c>
      <c r="D170">
        <v>49</v>
      </c>
      <c r="E170" t="s">
        <v>2047</v>
      </c>
      <c r="F170" t="s">
        <v>13</v>
      </c>
      <c r="G170">
        <v>1</v>
      </c>
      <c r="H170">
        <v>300.08</v>
      </c>
      <c r="I170" t="s">
        <v>23</v>
      </c>
      <c r="J170" s="1">
        <v>44231</v>
      </c>
      <c r="K170" t="s">
        <v>43</v>
      </c>
    </row>
    <row r="171" spans="1:11" x14ac:dyDescent="0.3">
      <c r="A171" t="s">
        <v>367</v>
      </c>
      <c r="B171" t="s">
        <v>368</v>
      </c>
      <c r="C171" t="s">
        <v>22</v>
      </c>
      <c r="D171">
        <v>59</v>
      </c>
      <c r="E171" t="s">
        <v>2047</v>
      </c>
      <c r="F171" t="s">
        <v>48</v>
      </c>
      <c r="G171">
        <v>2</v>
      </c>
      <c r="H171">
        <v>1200.3399999999999</v>
      </c>
      <c r="I171" t="s">
        <v>14</v>
      </c>
      <c r="J171" s="1">
        <v>44286</v>
      </c>
      <c r="K171" t="s">
        <v>24</v>
      </c>
    </row>
    <row r="172" spans="1:11" x14ac:dyDescent="0.3">
      <c r="A172" t="s">
        <v>1115</v>
      </c>
      <c r="B172" t="s">
        <v>1116</v>
      </c>
      <c r="C172" t="s">
        <v>22</v>
      </c>
      <c r="D172">
        <v>48</v>
      </c>
      <c r="E172" t="s">
        <v>2047</v>
      </c>
      <c r="F172" t="s">
        <v>18</v>
      </c>
      <c r="G172">
        <v>2</v>
      </c>
      <c r="H172">
        <v>81.319999999999993</v>
      </c>
      <c r="I172" t="s">
        <v>14</v>
      </c>
      <c r="J172" s="1">
        <v>44507</v>
      </c>
      <c r="K172" t="s">
        <v>24</v>
      </c>
    </row>
    <row r="173" spans="1:11" x14ac:dyDescent="0.3">
      <c r="A173" t="s">
        <v>1111</v>
      </c>
      <c r="B173" t="s">
        <v>1112</v>
      </c>
      <c r="C173" t="s">
        <v>22</v>
      </c>
      <c r="D173">
        <v>60</v>
      </c>
      <c r="E173" t="s">
        <v>2047</v>
      </c>
      <c r="F173" t="s">
        <v>37</v>
      </c>
      <c r="G173">
        <v>5</v>
      </c>
      <c r="H173">
        <v>26.15</v>
      </c>
      <c r="I173" t="s">
        <v>14</v>
      </c>
      <c r="J173" s="1">
        <v>44636</v>
      </c>
      <c r="K173" t="s">
        <v>34</v>
      </c>
    </row>
    <row r="174" spans="1:11" x14ac:dyDescent="0.3">
      <c r="A174" t="s">
        <v>373</v>
      </c>
      <c r="B174" t="s">
        <v>374</v>
      </c>
      <c r="C174" t="s">
        <v>12</v>
      </c>
      <c r="D174">
        <v>49</v>
      </c>
      <c r="E174" t="s">
        <v>2047</v>
      </c>
      <c r="F174" t="s">
        <v>13</v>
      </c>
      <c r="G174">
        <v>4</v>
      </c>
      <c r="H174">
        <v>1200.32</v>
      </c>
      <c r="I174" t="s">
        <v>28</v>
      </c>
      <c r="J174" s="1">
        <v>44221</v>
      </c>
      <c r="K174" t="s">
        <v>43</v>
      </c>
    </row>
    <row r="175" spans="1:11" x14ac:dyDescent="0.3">
      <c r="A175" t="s">
        <v>1101</v>
      </c>
      <c r="B175" t="s">
        <v>1102</v>
      </c>
      <c r="C175" t="s">
        <v>12</v>
      </c>
      <c r="D175">
        <v>48</v>
      </c>
      <c r="E175" t="s">
        <v>2047</v>
      </c>
      <c r="F175" t="s">
        <v>37</v>
      </c>
      <c r="G175">
        <v>3</v>
      </c>
      <c r="H175">
        <v>15.69</v>
      </c>
      <c r="I175" t="s">
        <v>28</v>
      </c>
      <c r="J175" s="1">
        <v>44365</v>
      </c>
      <c r="K175" t="s">
        <v>60</v>
      </c>
    </row>
    <row r="176" spans="1:11" x14ac:dyDescent="0.3">
      <c r="A176" t="s">
        <v>1097</v>
      </c>
      <c r="B176" t="s">
        <v>1098</v>
      </c>
      <c r="C176" t="s">
        <v>12</v>
      </c>
      <c r="D176">
        <v>55</v>
      </c>
      <c r="E176" t="s">
        <v>2047</v>
      </c>
      <c r="F176" t="s">
        <v>37</v>
      </c>
      <c r="G176">
        <v>1</v>
      </c>
      <c r="H176">
        <v>5.23</v>
      </c>
      <c r="I176" t="s">
        <v>14</v>
      </c>
      <c r="J176" s="1">
        <v>44341</v>
      </c>
      <c r="K176" t="s">
        <v>34</v>
      </c>
    </row>
    <row r="177" spans="1:11" x14ac:dyDescent="0.3">
      <c r="A177" t="s">
        <v>379</v>
      </c>
      <c r="B177" t="s">
        <v>380</v>
      </c>
      <c r="C177" t="s">
        <v>12</v>
      </c>
      <c r="D177">
        <v>54</v>
      </c>
      <c r="E177" t="s">
        <v>2047</v>
      </c>
      <c r="F177" t="s">
        <v>13</v>
      </c>
      <c r="G177">
        <v>1</v>
      </c>
      <c r="H177">
        <v>300.08</v>
      </c>
      <c r="I177" t="s">
        <v>14</v>
      </c>
      <c r="J177" s="1">
        <v>44738</v>
      </c>
      <c r="K177" t="s">
        <v>34</v>
      </c>
    </row>
    <row r="178" spans="1:11" x14ac:dyDescent="0.3">
      <c r="A178" t="s">
        <v>1091</v>
      </c>
      <c r="B178" t="s">
        <v>1092</v>
      </c>
      <c r="C178" t="s">
        <v>12</v>
      </c>
      <c r="D178">
        <v>56</v>
      </c>
      <c r="E178" t="s">
        <v>2047</v>
      </c>
      <c r="F178" t="s">
        <v>18</v>
      </c>
      <c r="G178">
        <v>2</v>
      </c>
      <c r="H178">
        <v>81.319999999999993</v>
      </c>
      <c r="I178" t="s">
        <v>28</v>
      </c>
      <c r="J178" s="1">
        <v>44624</v>
      </c>
      <c r="K178" t="s">
        <v>84</v>
      </c>
    </row>
    <row r="179" spans="1:11" x14ac:dyDescent="0.3">
      <c r="A179" t="s">
        <v>1083</v>
      </c>
      <c r="B179" t="s">
        <v>1084</v>
      </c>
      <c r="C179" t="s">
        <v>22</v>
      </c>
      <c r="D179">
        <v>46</v>
      </c>
      <c r="E179" t="s">
        <v>2047</v>
      </c>
      <c r="F179" t="s">
        <v>13</v>
      </c>
      <c r="G179">
        <v>4</v>
      </c>
      <c r="H179">
        <v>1200.32</v>
      </c>
      <c r="I179" t="s">
        <v>14</v>
      </c>
      <c r="J179" s="1">
        <v>44902</v>
      </c>
      <c r="K179" t="s">
        <v>73</v>
      </c>
    </row>
    <row r="180" spans="1:11" x14ac:dyDescent="0.3">
      <c r="A180" t="s">
        <v>1041</v>
      </c>
      <c r="B180" t="s">
        <v>1042</v>
      </c>
      <c r="C180" t="s">
        <v>12</v>
      </c>
      <c r="D180">
        <v>59</v>
      </c>
      <c r="E180" t="s">
        <v>2047</v>
      </c>
      <c r="F180" t="s">
        <v>37</v>
      </c>
      <c r="G180">
        <v>2</v>
      </c>
      <c r="H180">
        <v>10.46</v>
      </c>
      <c r="I180" t="s">
        <v>23</v>
      </c>
      <c r="J180" s="1">
        <v>44799</v>
      </c>
      <c r="K180" t="s">
        <v>40</v>
      </c>
    </row>
    <row r="181" spans="1:11" x14ac:dyDescent="0.3">
      <c r="A181" t="s">
        <v>1023</v>
      </c>
      <c r="B181" t="s">
        <v>1024</v>
      </c>
      <c r="C181" t="s">
        <v>22</v>
      </c>
      <c r="D181">
        <v>59</v>
      </c>
      <c r="E181" t="s">
        <v>2047</v>
      </c>
      <c r="F181" t="s">
        <v>18</v>
      </c>
      <c r="G181">
        <v>2</v>
      </c>
      <c r="H181">
        <v>81.319999999999993</v>
      </c>
      <c r="I181" t="s">
        <v>28</v>
      </c>
      <c r="J181" s="1">
        <v>44407</v>
      </c>
      <c r="K181" t="s">
        <v>34</v>
      </c>
    </row>
    <row r="182" spans="1:11" x14ac:dyDescent="0.3">
      <c r="A182" t="s">
        <v>1019</v>
      </c>
      <c r="B182" t="s">
        <v>1020</v>
      </c>
      <c r="C182" t="s">
        <v>22</v>
      </c>
      <c r="D182">
        <v>50</v>
      </c>
      <c r="E182" t="s">
        <v>2047</v>
      </c>
      <c r="F182" t="s">
        <v>48</v>
      </c>
      <c r="G182">
        <v>3</v>
      </c>
      <c r="H182">
        <v>1800.51</v>
      </c>
      <c r="I182" t="s">
        <v>14</v>
      </c>
      <c r="J182" s="1">
        <v>44416</v>
      </c>
      <c r="K182" t="s">
        <v>73</v>
      </c>
    </row>
    <row r="183" spans="1:11" x14ac:dyDescent="0.3">
      <c r="A183" t="s">
        <v>391</v>
      </c>
      <c r="B183" t="s">
        <v>392</v>
      </c>
      <c r="C183" t="s">
        <v>22</v>
      </c>
      <c r="D183">
        <v>52</v>
      </c>
      <c r="E183" t="s">
        <v>2047</v>
      </c>
      <c r="F183" t="s">
        <v>37</v>
      </c>
      <c r="G183">
        <v>2</v>
      </c>
      <c r="H183">
        <v>10.46</v>
      </c>
      <c r="I183" t="s">
        <v>14</v>
      </c>
      <c r="J183" s="1">
        <v>44625</v>
      </c>
      <c r="K183" t="s">
        <v>24</v>
      </c>
    </row>
    <row r="184" spans="1:11" x14ac:dyDescent="0.3">
      <c r="A184" t="s">
        <v>393</v>
      </c>
      <c r="B184" t="s">
        <v>394</v>
      </c>
      <c r="C184" t="s">
        <v>12</v>
      </c>
      <c r="D184">
        <v>49</v>
      </c>
      <c r="E184" t="s">
        <v>2047</v>
      </c>
      <c r="F184" t="s">
        <v>37</v>
      </c>
      <c r="G184">
        <v>1</v>
      </c>
      <c r="H184">
        <v>5.23</v>
      </c>
      <c r="I184" t="s">
        <v>28</v>
      </c>
      <c r="J184" s="1">
        <v>44415</v>
      </c>
      <c r="K184" t="s">
        <v>24</v>
      </c>
    </row>
    <row r="185" spans="1:11" x14ac:dyDescent="0.3">
      <c r="A185" t="s">
        <v>1017</v>
      </c>
      <c r="B185" t="s">
        <v>1018</v>
      </c>
      <c r="C185" t="s">
        <v>22</v>
      </c>
      <c r="D185">
        <v>54</v>
      </c>
      <c r="E185" t="s">
        <v>2047</v>
      </c>
      <c r="F185" t="s">
        <v>27</v>
      </c>
      <c r="G185">
        <v>1</v>
      </c>
      <c r="H185">
        <v>15.15</v>
      </c>
      <c r="I185" t="s">
        <v>28</v>
      </c>
      <c r="J185" s="1">
        <v>44494</v>
      </c>
      <c r="K185" t="s">
        <v>43</v>
      </c>
    </row>
    <row r="186" spans="1:11" x14ac:dyDescent="0.3">
      <c r="A186" t="s">
        <v>1013</v>
      </c>
      <c r="B186" t="s">
        <v>1014</v>
      </c>
      <c r="C186" t="s">
        <v>22</v>
      </c>
      <c r="D186">
        <v>53</v>
      </c>
      <c r="E186" t="s">
        <v>2047</v>
      </c>
      <c r="F186" t="s">
        <v>31</v>
      </c>
      <c r="G186">
        <v>5</v>
      </c>
      <c r="H186">
        <v>5250</v>
      </c>
      <c r="I186" t="s">
        <v>14</v>
      </c>
      <c r="J186" s="1">
        <v>44572</v>
      </c>
      <c r="K186" t="s">
        <v>60</v>
      </c>
    </row>
    <row r="187" spans="1:11" x14ac:dyDescent="0.3">
      <c r="A187" t="s">
        <v>1009</v>
      </c>
      <c r="B187" t="s">
        <v>1010</v>
      </c>
      <c r="C187" t="s">
        <v>12</v>
      </c>
      <c r="D187">
        <v>47</v>
      </c>
      <c r="E187" t="s">
        <v>2047</v>
      </c>
      <c r="F187" t="s">
        <v>13</v>
      </c>
      <c r="G187">
        <v>4</v>
      </c>
      <c r="H187">
        <v>1200.32</v>
      </c>
      <c r="I187" t="s">
        <v>23</v>
      </c>
      <c r="J187" s="1">
        <v>44289</v>
      </c>
      <c r="K187" t="s">
        <v>43</v>
      </c>
    </row>
    <row r="188" spans="1:11" x14ac:dyDescent="0.3">
      <c r="A188" t="s">
        <v>1005</v>
      </c>
      <c r="B188" t="s">
        <v>1006</v>
      </c>
      <c r="C188" t="s">
        <v>12</v>
      </c>
      <c r="D188">
        <v>58</v>
      </c>
      <c r="E188" t="s">
        <v>2047</v>
      </c>
      <c r="F188" t="s">
        <v>13</v>
      </c>
      <c r="G188">
        <v>1</v>
      </c>
      <c r="H188">
        <v>300.08</v>
      </c>
      <c r="I188" t="s">
        <v>23</v>
      </c>
      <c r="J188" s="1">
        <v>44420</v>
      </c>
      <c r="K188" t="s">
        <v>43</v>
      </c>
    </row>
    <row r="189" spans="1:11" x14ac:dyDescent="0.3">
      <c r="A189" t="s">
        <v>1001</v>
      </c>
      <c r="B189" t="s">
        <v>1002</v>
      </c>
      <c r="C189" t="s">
        <v>22</v>
      </c>
      <c r="D189">
        <v>57</v>
      </c>
      <c r="E189" t="s">
        <v>2047</v>
      </c>
      <c r="F189" t="s">
        <v>18</v>
      </c>
      <c r="G189">
        <v>4</v>
      </c>
      <c r="H189">
        <v>162.63999999999999</v>
      </c>
      <c r="I189" t="s">
        <v>14</v>
      </c>
      <c r="J189" s="1">
        <v>44770</v>
      </c>
      <c r="K189" t="s">
        <v>73</v>
      </c>
    </row>
    <row r="190" spans="1:11" x14ac:dyDescent="0.3">
      <c r="A190" t="s">
        <v>999</v>
      </c>
      <c r="B190" t="s">
        <v>1000</v>
      </c>
      <c r="C190" t="s">
        <v>22</v>
      </c>
      <c r="D190">
        <v>50</v>
      </c>
      <c r="E190" t="s">
        <v>2047</v>
      </c>
      <c r="F190" t="s">
        <v>13</v>
      </c>
      <c r="G190">
        <v>4</v>
      </c>
      <c r="H190">
        <v>1200.32</v>
      </c>
      <c r="I190" t="s">
        <v>14</v>
      </c>
      <c r="J190" s="1">
        <v>44871</v>
      </c>
      <c r="K190" t="s">
        <v>60</v>
      </c>
    </row>
    <row r="191" spans="1:11" x14ac:dyDescent="0.3">
      <c r="A191" t="s">
        <v>985</v>
      </c>
      <c r="B191" t="s">
        <v>986</v>
      </c>
      <c r="C191" t="s">
        <v>22</v>
      </c>
      <c r="D191">
        <v>48</v>
      </c>
      <c r="E191" t="s">
        <v>2047</v>
      </c>
      <c r="F191" t="s">
        <v>18</v>
      </c>
      <c r="G191">
        <v>2</v>
      </c>
      <c r="H191">
        <v>81.319999999999993</v>
      </c>
      <c r="I191" t="s">
        <v>28</v>
      </c>
      <c r="J191" s="1">
        <v>44240</v>
      </c>
      <c r="K191" t="s">
        <v>34</v>
      </c>
    </row>
    <row r="192" spans="1:11" x14ac:dyDescent="0.3">
      <c r="A192" t="s">
        <v>983</v>
      </c>
      <c r="B192" t="s">
        <v>984</v>
      </c>
      <c r="C192" t="s">
        <v>22</v>
      </c>
      <c r="D192">
        <v>58</v>
      </c>
      <c r="E192" t="s">
        <v>2047</v>
      </c>
      <c r="F192" t="s">
        <v>13</v>
      </c>
      <c r="G192">
        <v>3</v>
      </c>
      <c r="H192">
        <v>900.24</v>
      </c>
      <c r="I192" t="s">
        <v>23</v>
      </c>
      <c r="J192" s="1">
        <v>44543</v>
      </c>
      <c r="K192" t="s">
        <v>84</v>
      </c>
    </row>
    <row r="193" spans="1:11" x14ac:dyDescent="0.3">
      <c r="A193" t="s">
        <v>975</v>
      </c>
      <c r="B193" t="s">
        <v>976</v>
      </c>
      <c r="C193" t="s">
        <v>12</v>
      </c>
      <c r="D193">
        <v>56</v>
      </c>
      <c r="E193" t="s">
        <v>2047</v>
      </c>
      <c r="F193" t="s">
        <v>59</v>
      </c>
      <c r="G193">
        <v>3</v>
      </c>
      <c r="H193">
        <v>107.52</v>
      </c>
      <c r="I193" t="s">
        <v>14</v>
      </c>
      <c r="J193" s="1">
        <v>44743</v>
      </c>
      <c r="K193" t="s">
        <v>73</v>
      </c>
    </row>
    <row r="194" spans="1:11" x14ac:dyDescent="0.3">
      <c r="A194" t="s">
        <v>971</v>
      </c>
      <c r="B194" t="s">
        <v>972</v>
      </c>
      <c r="C194" t="s">
        <v>22</v>
      </c>
      <c r="D194">
        <v>60</v>
      </c>
      <c r="E194" t="s">
        <v>2047</v>
      </c>
      <c r="F194" t="s">
        <v>31</v>
      </c>
      <c r="G194">
        <v>5</v>
      </c>
      <c r="H194">
        <v>5250</v>
      </c>
      <c r="I194" t="s">
        <v>14</v>
      </c>
      <c r="J194" s="1">
        <v>44700</v>
      </c>
      <c r="K194" t="s">
        <v>40</v>
      </c>
    </row>
    <row r="195" spans="1:11" x14ac:dyDescent="0.3">
      <c r="A195" t="s">
        <v>965</v>
      </c>
      <c r="B195" t="s">
        <v>966</v>
      </c>
      <c r="C195" t="s">
        <v>12</v>
      </c>
      <c r="D195">
        <v>54</v>
      </c>
      <c r="E195" t="s">
        <v>2047</v>
      </c>
      <c r="F195" t="s">
        <v>13</v>
      </c>
      <c r="G195">
        <v>5</v>
      </c>
      <c r="H195">
        <v>1500.4</v>
      </c>
      <c r="I195" t="s">
        <v>23</v>
      </c>
      <c r="J195" s="1">
        <v>44648</v>
      </c>
      <c r="K195" t="s">
        <v>53</v>
      </c>
    </row>
    <row r="196" spans="1:11" x14ac:dyDescent="0.3">
      <c r="A196" t="s">
        <v>957</v>
      </c>
      <c r="B196" t="s">
        <v>958</v>
      </c>
      <c r="C196" t="s">
        <v>12</v>
      </c>
      <c r="D196">
        <v>58</v>
      </c>
      <c r="E196" t="s">
        <v>2047</v>
      </c>
      <c r="F196" t="s">
        <v>37</v>
      </c>
      <c r="G196">
        <v>4</v>
      </c>
      <c r="H196">
        <v>20.92</v>
      </c>
      <c r="I196" t="s">
        <v>28</v>
      </c>
      <c r="J196" s="1">
        <v>44475</v>
      </c>
      <c r="K196" t="s">
        <v>43</v>
      </c>
    </row>
    <row r="197" spans="1:11" x14ac:dyDescent="0.3">
      <c r="A197" t="s">
        <v>955</v>
      </c>
      <c r="B197" t="s">
        <v>956</v>
      </c>
      <c r="C197" t="s">
        <v>22</v>
      </c>
      <c r="D197">
        <v>48</v>
      </c>
      <c r="E197" t="s">
        <v>2047</v>
      </c>
      <c r="F197" t="s">
        <v>37</v>
      </c>
      <c r="G197">
        <v>2</v>
      </c>
      <c r="H197">
        <v>10.46</v>
      </c>
      <c r="I197" t="s">
        <v>14</v>
      </c>
      <c r="J197" s="1">
        <v>44674</v>
      </c>
      <c r="K197" t="s">
        <v>84</v>
      </c>
    </row>
    <row r="198" spans="1:11" x14ac:dyDescent="0.3">
      <c r="A198" t="s">
        <v>953</v>
      </c>
      <c r="B198" t="s">
        <v>954</v>
      </c>
      <c r="C198" t="s">
        <v>12</v>
      </c>
      <c r="D198">
        <v>52</v>
      </c>
      <c r="E198" t="s">
        <v>2047</v>
      </c>
      <c r="F198" t="s">
        <v>13</v>
      </c>
      <c r="G198">
        <v>4</v>
      </c>
      <c r="H198">
        <v>1200.32</v>
      </c>
      <c r="I198" t="s">
        <v>14</v>
      </c>
      <c r="J198" s="1">
        <v>44728</v>
      </c>
      <c r="K198" t="s">
        <v>43</v>
      </c>
    </row>
    <row r="199" spans="1:11" x14ac:dyDescent="0.3">
      <c r="A199" t="s">
        <v>951</v>
      </c>
      <c r="B199" t="s">
        <v>952</v>
      </c>
      <c r="C199" t="s">
        <v>22</v>
      </c>
      <c r="D199">
        <v>52</v>
      </c>
      <c r="E199" t="s">
        <v>2047</v>
      </c>
      <c r="F199" t="s">
        <v>13</v>
      </c>
      <c r="G199">
        <v>2</v>
      </c>
      <c r="H199">
        <v>600.16</v>
      </c>
      <c r="I199" t="s">
        <v>23</v>
      </c>
      <c r="J199" s="1">
        <v>44438</v>
      </c>
      <c r="K199" t="s">
        <v>24</v>
      </c>
    </row>
    <row r="200" spans="1:11" x14ac:dyDescent="0.3">
      <c r="A200" t="s">
        <v>949</v>
      </c>
      <c r="B200" t="s">
        <v>950</v>
      </c>
      <c r="C200" t="s">
        <v>12</v>
      </c>
      <c r="D200">
        <v>56</v>
      </c>
      <c r="E200" t="s">
        <v>2047</v>
      </c>
      <c r="F200" t="s">
        <v>59</v>
      </c>
      <c r="G200">
        <v>1</v>
      </c>
      <c r="H200">
        <v>35.840000000000003</v>
      </c>
      <c r="I200" t="s">
        <v>28</v>
      </c>
      <c r="J200" s="1">
        <v>44634</v>
      </c>
      <c r="K200" t="s">
        <v>40</v>
      </c>
    </row>
    <row r="201" spans="1:11" x14ac:dyDescent="0.3">
      <c r="A201" t="s">
        <v>947</v>
      </c>
      <c r="B201" t="s">
        <v>948</v>
      </c>
      <c r="C201" t="s">
        <v>22</v>
      </c>
      <c r="D201">
        <v>54</v>
      </c>
      <c r="E201" t="s">
        <v>2047</v>
      </c>
      <c r="F201" t="s">
        <v>27</v>
      </c>
      <c r="G201">
        <v>2</v>
      </c>
      <c r="H201">
        <v>30.3</v>
      </c>
      <c r="I201" t="s">
        <v>14</v>
      </c>
      <c r="J201" s="1">
        <v>44575</v>
      </c>
      <c r="K201" t="s">
        <v>19</v>
      </c>
    </row>
    <row r="202" spans="1:11" x14ac:dyDescent="0.3">
      <c r="A202" t="s">
        <v>943</v>
      </c>
      <c r="B202" t="s">
        <v>944</v>
      </c>
      <c r="C202" t="s">
        <v>22</v>
      </c>
      <c r="D202">
        <v>59</v>
      </c>
      <c r="E202" t="s">
        <v>2047</v>
      </c>
      <c r="F202" t="s">
        <v>59</v>
      </c>
      <c r="G202">
        <v>2</v>
      </c>
      <c r="H202">
        <v>71.680000000000007</v>
      </c>
      <c r="I202" t="s">
        <v>14</v>
      </c>
      <c r="J202" s="1">
        <v>44687</v>
      </c>
      <c r="K202" t="s">
        <v>84</v>
      </c>
    </row>
    <row r="203" spans="1:11" x14ac:dyDescent="0.3">
      <c r="A203" t="s">
        <v>431</v>
      </c>
      <c r="B203" t="s">
        <v>432</v>
      </c>
      <c r="C203" t="s">
        <v>12</v>
      </c>
      <c r="D203">
        <v>49</v>
      </c>
      <c r="E203" t="s">
        <v>2047</v>
      </c>
      <c r="F203" t="s">
        <v>59</v>
      </c>
      <c r="G203">
        <v>4</v>
      </c>
      <c r="H203">
        <v>143.36000000000001</v>
      </c>
      <c r="I203" t="s">
        <v>14</v>
      </c>
      <c r="J203" s="1">
        <v>44721</v>
      </c>
      <c r="K203" t="s">
        <v>24</v>
      </c>
    </row>
    <row r="204" spans="1:11" x14ac:dyDescent="0.3">
      <c r="A204" t="s">
        <v>433</v>
      </c>
      <c r="B204" t="s">
        <v>434</v>
      </c>
      <c r="C204" t="s">
        <v>12</v>
      </c>
      <c r="D204">
        <v>60</v>
      </c>
      <c r="E204" t="s">
        <v>2047</v>
      </c>
      <c r="F204" t="s">
        <v>13</v>
      </c>
      <c r="G204">
        <v>5</v>
      </c>
      <c r="H204">
        <v>1500.4</v>
      </c>
      <c r="I204" t="s">
        <v>23</v>
      </c>
      <c r="J204" s="1">
        <v>44527</v>
      </c>
      <c r="K204" t="s">
        <v>43</v>
      </c>
    </row>
    <row r="205" spans="1:11" x14ac:dyDescent="0.3">
      <c r="A205" t="s">
        <v>941</v>
      </c>
      <c r="B205" t="s">
        <v>942</v>
      </c>
      <c r="C205" t="s">
        <v>22</v>
      </c>
      <c r="D205">
        <v>54</v>
      </c>
      <c r="E205" t="s">
        <v>2047</v>
      </c>
      <c r="F205" t="s">
        <v>56</v>
      </c>
      <c r="G205">
        <v>3</v>
      </c>
      <c r="H205">
        <v>35.19</v>
      </c>
      <c r="I205" t="s">
        <v>28</v>
      </c>
      <c r="J205" s="1">
        <v>44412</v>
      </c>
      <c r="K205" t="s">
        <v>43</v>
      </c>
    </row>
    <row r="206" spans="1:11" x14ac:dyDescent="0.3">
      <c r="A206" t="s">
        <v>437</v>
      </c>
      <c r="B206" t="s">
        <v>438</v>
      </c>
      <c r="C206" t="s">
        <v>12</v>
      </c>
      <c r="D206">
        <v>55</v>
      </c>
      <c r="E206" t="s">
        <v>2047</v>
      </c>
      <c r="F206" t="s">
        <v>59</v>
      </c>
      <c r="G206">
        <v>3</v>
      </c>
      <c r="H206">
        <v>107.52</v>
      </c>
      <c r="I206" t="s">
        <v>14</v>
      </c>
      <c r="J206" s="1">
        <v>44641</v>
      </c>
      <c r="K206" t="s">
        <v>60</v>
      </c>
    </row>
    <row r="207" spans="1:11" x14ac:dyDescent="0.3">
      <c r="A207" t="s">
        <v>937</v>
      </c>
      <c r="B207" t="s">
        <v>938</v>
      </c>
      <c r="C207" t="s">
        <v>22</v>
      </c>
      <c r="D207">
        <v>54</v>
      </c>
      <c r="E207" t="s">
        <v>2047</v>
      </c>
      <c r="F207" t="s">
        <v>59</v>
      </c>
      <c r="G207">
        <v>4</v>
      </c>
      <c r="H207">
        <v>143.36000000000001</v>
      </c>
      <c r="I207" t="s">
        <v>14</v>
      </c>
      <c r="J207" s="1">
        <v>44746</v>
      </c>
      <c r="K207" t="s">
        <v>60</v>
      </c>
    </row>
    <row r="208" spans="1:11" x14ac:dyDescent="0.3">
      <c r="A208" t="s">
        <v>441</v>
      </c>
      <c r="B208" t="s">
        <v>442</v>
      </c>
      <c r="C208" t="s">
        <v>22</v>
      </c>
      <c r="D208">
        <v>57</v>
      </c>
      <c r="E208" t="s">
        <v>2047</v>
      </c>
      <c r="F208" t="s">
        <v>13</v>
      </c>
      <c r="G208">
        <v>5</v>
      </c>
      <c r="H208">
        <v>1500.4</v>
      </c>
      <c r="I208" t="s">
        <v>14</v>
      </c>
      <c r="J208" s="1">
        <v>44693</v>
      </c>
      <c r="K208" t="s">
        <v>24</v>
      </c>
    </row>
    <row r="209" spans="1:11" x14ac:dyDescent="0.3">
      <c r="A209" t="s">
        <v>443</v>
      </c>
      <c r="B209" t="s">
        <v>444</v>
      </c>
      <c r="C209" t="s">
        <v>12</v>
      </c>
      <c r="D209">
        <v>56</v>
      </c>
      <c r="E209" t="s">
        <v>2047</v>
      </c>
      <c r="F209" t="s">
        <v>27</v>
      </c>
      <c r="G209">
        <v>5</v>
      </c>
      <c r="H209">
        <v>75.75</v>
      </c>
      <c r="I209" t="s">
        <v>14</v>
      </c>
      <c r="J209" s="1">
        <v>44748</v>
      </c>
      <c r="K209" t="s">
        <v>40</v>
      </c>
    </row>
    <row r="210" spans="1:11" x14ac:dyDescent="0.3">
      <c r="A210" t="s">
        <v>923</v>
      </c>
      <c r="B210" t="s">
        <v>924</v>
      </c>
      <c r="C210" t="s">
        <v>22</v>
      </c>
      <c r="D210">
        <v>53</v>
      </c>
      <c r="E210" t="s">
        <v>2047</v>
      </c>
      <c r="F210" t="s">
        <v>13</v>
      </c>
      <c r="G210">
        <v>3</v>
      </c>
      <c r="H210">
        <v>900.24</v>
      </c>
      <c r="I210" t="s">
        <v>14</v>
      </c>
      <c r="J210" s="1">
        <v>44671</v>
      </c>
      <c r="K210" t="s">
        <v>84</v>
      </c>
    </row>
    <row r="211" spans="1:11" x14ac:dyDescent="0.3">
      <c r="A211" t="s">
        <v>913</v>
      </c>
      <c r="B211" t="s">
        <v>914</v>
      </c>
      <c r="C211" t="s">
        <v>22</v>
      </c>
      <c r="D211">
        <v>51</v>
      </c>
      <c r="E211" t="s">
        <v>2047</v>
      </c>
      <c r="F211" t="s">
        <v>56</v>
      </c>
      <c r="G211">
        <v>5</v>
      </c>
      <c r="H211">
        <v>58.65</v>
      </c>
      <c r="I211" t="s">
        <v>23</v>
      </c>
      <c r="J211" s="1">
        <v>44547</v>
      </c>
      <c r="K211" t="s">
        <v>15</v>
      </c>
    </row>
    <row r="212" spans="1:11" x14ac:dyDescent="0.3">
      <c r="A212" t="s">
        <v>903</v>
      </c>
      <c r="B212" t="s">
        <v>904</v>
      </c>
      <c r="C212" t="s">
        <v>22</v>
      </c>
      <c r="D212">
        <v>50</v>
      </c>
      <c r="E212" t="s">
        <v>2047</v>
      </c>
      <c r="F212" t="s">
        <v>27</v>
      </c>
      <c r="G212">
        <v>4</v>
      </c>
      <c r="H212">
        <v>60.6</v>
      </c>
      <c r="I212" t="s">
        <v>28</v>
      </c>
      <c r="J212" s="1">
        <v>44303</v>
      </c>
      <c r="K212" t="s">
        <v>24</v>
      </c>
    </row>
    <row r="213" spans="1:11" x14ac:dyDescent="0.3">
      <c r="A213" t="s">
        <v>451</v>
      </c>
      <c r="B213" t="s">
        <v>452</v>
      </c>
      <c r="C213" t="s">
        <v>12</v>
      </c>
      <c r="D213">
        <v>54</v>
      </c>
      <c r="E213" t="s">
        <v>2047</v>
      </c>
      <c r="F213" t="s">
        <v>27</v>
      </c>
      <c r="G213">
        <v>3</v>
      </c>
      <c r="H213">
        <v>45.45</v>
      </c>
      <c r="I213" t="s">
        <v>23</v>
      </c>
      <c r="J213" s="1">
        <v>44905</v>
      </c>
      <c r="K213" t="s">
        <v>34</v>
      </c>
    </row>
    <row r="214" spans="1:11" x14ac:dyDescent="0.3">
      <c r="A214" t="s">
        <v>897</v>
      </c>
      <c r="B214" t="s">
        <v>898</v>
      </c>
      <c r="C214" t="s">
        <v>12</v>
      </c>
      <c r="D214">
        <v>52</v>
      </c>
      <c r="E214" t="s">
        <v>2047</v>
      </c>
      <c r="F214" t="s">
        <v>27</v>
      </c>
      <c r="G214">
        <v>3</v>
      </c>
      <c r="H214">
        <v>45.45</v>
      </c>
      <c r="I214" t="s">
        <v>14</v>
      </c>
      <c r="J214" s="1">
        <v>44960</v>
      </c>
      <c r="K214" t="s">
        <v>19</v>
      </c>
    </row>
    <row r="215" spans="1:11" x14ac:dyDescent="0.3">
      <c r="A215" t="s">
        <v>895</v>
      </c>
      <c r="B215" t="s">
        <v>896</v>
      </c>
      <c r="C215" t="s">
        <v>12</v>
      </c>
      <c r="D215">
        <v>54</v>
      </c>
      <c r="E215" t="s">
        <v>2047</v>
      </c>
      <c r="F215" t="s">
        <v>59</v>
      </c>
      <c r="G215">
        <v>2</v>
      </c>
      <c r="H215">
        <v>71.680000000000007</v>
      </c>
      <c r="I215" t="s">
        <v>28</v>
      </c>
      <c r="J215" s="1">
        <v>44266</v>
      </c>
      <c r="K215" t="s">
        <v>84</v>
      </c>
    </row>
    <row r="216" spans="1:11" x14ac:dyDescent="0.3">
      <c r="A216" t="s">
        <v>893</v>
      </c>
      <c r="B216" t="s">
        <v>894</v>
      </c>
      <c r="C216" t="s">
        <v>22</v>
      </c>
      <c r="D216">
        <v>50</v>
      </c>
      <c r="E216" t="s">
        <v>2047</v>
      </c>
      <c r="F216" t="s">
        <v>13</v>
      </c>
      <c r="G216">
        <v>3</v>
      </c>
      <c r="H216">
        <v>900.24</v>
      </c>
      <c r="I216" t="s">
        <v>28</v>
      </c>
      <c r="J216" s="1">
        <v>44254</v>
      </c>
      <c r="K216" t="s">
        <v>15</v>
      </c>
    </row>
    <row r="217" spans="1:11" x14ac:dyDescent="0.3">
      <c r="A217" t="s">
        <v>879</v>
      </c>
      <c r="B217" t="s">
        <v>880</v>
      </c>
      <c r="C217" t="s">
        <v>22</v>
      </c>
      <c r="D217">
        <v>55</v>
      </c>
      <c r="E217" t="s">
        <v>2047</v>
      </c>
      <c r="F217" t="s">
        <v>37</v>
      </c>
      <c r="G217">
        <v>3</v>
      </c>
      <c r="H217">
        <v>15.69</v>
      </c>
      <c r="I217" t="s">
        <v>23</v>
      </c>
      <c r="J217" s="1">
        <v>44773</v>
      </c>
      <c r="K217" t="s">
        <v>43</v>
      </c>
    </row>
    <row r="218" spans="1:11" x14ac:dyDescent="0.3">
      <c r="A218" t="s">
        <v>871</v>
      </c>
      <c r="B218" t="s">
        <v>872</v>
      </c>
      <c r="C218" t="s">
        <v>22</v>
      </c>
      <c r="D218">
        <v>47</v>
      </c>
      <c r="E218" t="s">
        <v>2047</v>
      </c>
      <c r="F218" t="s">
        <v>27</v>
      </c>
      <c r="G218">
        <v>3</v>
      </c>
      <c r="H218">
        <v>45.45</v>
      </c>
      <c r="I218" t="s">
        <v>14</v>
      </c>
      <c r="J218" s="1">
        <v>44560</v>
      </c>
      <c r="K218" t="s">
        <v>34</v>
      </c>
    </row>
    <row r="219" spans="1:11" x14ac:dyDescent="0.3">
      <c r="A219" t="s">
        <v>867</v>
      </c>
      <c r="B219" t="s">
        <v>868</v>
      </c>
      <c r="C219" t="s">
        <v>22</v>
      </c>
      <c r="D219">
        <v>59</v>
      </c>
      <c r="E219" t="s">
        <v>2047</v>
      </c>
      <c r="F219" t="s">
        <v>59</v>
      </c>
      <c r="G219">
        <v>5</v>
      </c>
      <c r="H219">
        <v>179.2</v>
      </c>
      <c r="I219" t="s">
        <v>28</v>
      </c>
      <c r="J219" s="1">
        <v>44491</v>
      </c>
      <c r="K219" t="s">
        <v>43</v>
      </c>
    </row>
    <row r="220" spans="1:11" x14ac:dyDescent="0.3">
      <c r="A220" t="s">
        <v>865</v>
      </c>
      <c r="B220" t="s">
        <v>866</v>
      </c>
      <c r="C220" t="s">
        <v>12</v>
      </c>
      <c r="D220">
        <v>60</v>
      </c>
      <c r="E220" t="s">
        <v>2047</v>
      </c>
      <c r="F220" t="s">
        <v>27</v>
      </c>
      <c r="G220">
        <v>4</v>
      </c>
      <c r="H220">
        <v>60.6</v>
      </c>
      <c r="I220" t="s">
        <v>28</v>
      </c>
      <c r="J220" s="1">
        <v>44234</v>
      </c>
      <c r="K220" t="s">
        <v>84</v>
      </c>
    </row>
    <row r="221" spans="1:11" x14ac:dyDescent="0.3">
      <c r="A221" t="s">
        <v>467</v>
      </c>
      <c r="B221" t="s">
        <v>468</v>
      </c>
      <c r="C221" t="s">
        <v>22</v>
      </c>
      <c r="D221">
        <v>54</v>
      </c>
      <c r="E221" t="s">
        <v>2047</v>
      </c>
      <c r="F221" t="s">
        <v>18</v>
      </c>
      <c r="G221">
        <v>2</v>
      </c>
      <c r="H221">
        <v>81.319999999999993</v>
      </c>
      <c r="I221" t="s">
        <v>14</v>
      </c>
      <c r="J221" s="1">
        <v>44975</v>
      </c>
      <c r="K221" t="s">
        <v>60</v>
      </c>
    </row>
    <row r="222" spans="1:11" x14ac:dyDescent="0.3">
      <c r="A222" t="s">
        <v>863</v>
      </c>
      <c r="B222" t="s">
        <v>864</v>
      </c>
      <c r="C222" t="s">
        <v>22</v>
      </c>
      <c r="D222">
        <v>47</v>
      </c>
      <c r="E222" t="s">
        <v>2047</v>
      </c>
      <c r="F222" t="s">
        <v>13</v>
      </c>
      <c r="G222">
        <v>2</v>
      </c>
      <c r="H222">
        <v>600.16</v>
      </c>
      <c r="I222" t="s">
        <v>28</v>
      </c>
      <c r="J222" s="1">
        <v>44488</v>
      </c>
      <c r="K222" t="s">
        <v>43</v>
      </c>
    </row>
    <row r="223" spans="1:11" x14ac:dyDescent="0.3">
      <c r="A223" t="s">
        <v>845</v>
      </c>
      <c r="B223" t="s">
        <v>846</v>
      </c>
      <c r="C223" t="s">
        <v>22</v>
      </c>
      <c r="D223">
        <v>52</v>
      </c>
      <c r="E223" t="s">
        <v>2047</v>
      </c>
      <c r="F223" t="s">
        <v>18</v>
      </c>
      <c r="G223">
        <v>4</v>
      </c>
      <c r="H223">
        <v>162.63999999999999</v>
      </c>
      <c r="I223" t="s">
        <v>14</v>
      </c>
      <c r="J223" s="1">
        <v>44357</v>
      </c>
      <c r="K223" t="s">
        <v>19</v>
      </c>
    </row>
    <row r="224" spans="1:11" x14ac:dyDescent="0.3">
      <c r="A224" t="s">
        <v>841</v>
      </c>
      <c r="B224" t="s">
        <v>842</v>
      </c>
      <c r="C224" t="s">
        <v>22</v>
      </c>
      <c r="D224">
        <v>58</v>
      </c>
      <c r="E224" t="s">
        <v>2047</v>
      </c>
      <c r="F224" t="s">
        <v>59</v>
      </c>
      <c r="G224">
        <v>2</v>
      </c>
      <c r="H224">
        <v>71.680000000000007</v>
      </c>
      <c r="I224" t="s">
        <v>28</v>
      </c>
      <c r="J224" s="1">
        <v>44465</v>
      </c>
      <c r="K224" t="s">
        <v>43</v>
      </c>
    </row>
    <row r="225" spans="1:11" x14ac:dyDescent="0.3">
      <c r="A225" t="s">
        <v>839</v>
      </c>
      <c r="B225" t="s">
        <v>840</v>
      </c>
      <c r="C225" t="s">
        <v>12</v>
      </c>
      <c r="D225">
        <v>54</v>
      </c>
      <c r="E225" t="s">
        <v>2047</v>
      </c>
      <c r="F225" t="s">
        <v>48</v>
      </c>
      <c r="G225">
        <v>4</v>
      </c>
      <c r="H225">
        <v>2400.6799999999998</v>
      </c>
      <c r="I225" t="s">
        <v>28</v>
      </c>
      <c r="J225" s="1">
        <v>44809</v>
      </c>
      <c r="K225" t="s">
        <v>43</v>
      </c>
    </row>
    <row r="226" spans="1:11" x14ac:dyDescent="0.3">
      <c r="A226" t="s">
        <v>837</v>
      </c>
      <c r="B226" t="s">
        <v>838</v>
      </c>
      <c r="C226" t="s">
        <v>22</v>
      </c>
      <c r="D226">
        <v>50</v>
      </c>
      <c r="E226" t="s">
        <v>2047</v>
      </c>
      <c r="F226" t="s">
        <v>59</v>
      </c>
      <c r="G226">
        <v>4</v>
      </c>
      <c r="H226">
        <v>143.36000000000001</v>
      </c>
      <c r="I226" t="s">
        <v>23</v>
      </c>
      <c r="J226" s="1">
        <v>44349</v>
      </c>
      <c r="K226" t="s">
        <v>19</v>
      </c>
    </row>
    <row r="227" spans="1:11" x14ac:dyDescent="0.3">
      <c r="A227" t="s">
        <v>479</v>
      </c>
      <c r="B227" t="s">
        <v>480</v>
      </c>
      <c r="C227" t="s">
        <v>12</v>
      </c>
      <c r="D227">
        <v>58</v>
      </c>
      <c r="E227" t="s">
        <v>2047</v>
      </c>
      <c r="F227" t="s">
        <v>59</v>
      </c>
      <c r="G227">
        <v>4</v>
      </c>
      <c r="H227">
        <v>143.36000000000001</v>
      </c>
      <c r="I227" t="s">
        <v>14</v>
      </c>
      <c r="J227" s="1">
        <v>44277</v>
      </c>
      <c r="K227" t="s">
        <v>84</v>
      </c>
    </row>
    <row r="228" spans="1:11" x14ac:dyDescent="0.3">
      <c r="A228" t="s">
        <v>835</v>
      </c>
      <c r="B228" t="s">
        <v>836</v>
      </c>
      <c r="C228" t="s">
        <v>22</v>
      </c>
      <c r="D228">
        <v>51</v>
      </c>
      <c r="E228" t="s">
        <v>2047</v>
      </c>
      <c r="F228" t="s">
        <v>13</v>
      </c>
      <c r="G228">
        <v>4</v>
      </c>
      <c r="H228">
        <v>1200.32</v>
      </c>
      <c r="I228" t="s">
        <v>28</v>
      </c>
      <c r="J228" s="1">
        <v>44307</v>
      </c>
      <c r="K228" t="s">
        <v>53</v>
      </c>
    </row>
    <row r="229" spans="1:11" x14ac:dyDescent="0.3">
      <c r="A229" t="s">
        <v>483</v>
      </c>
      <c r="B229" t="s">
        <v>484</v>
      </c>
      <c r="C229" t="s">
        <v>12</v>
      </c>
      <c r="D229">
        <v>60</v>
      </c>
      <c r="E229" t="s">
        <v>2047</v>
      </c>
      <c r="F229" t="s">
        <v>56</v>
      </c>
      <c r="G229">
        <v>2</v>
      </c>
      <c r="H229">
        <v>23.46</v>
      </c>
      <c r="I229" t="s">
        <v>23</v>
      </c>
      <c r="J229" s="1">
        <v>44340</v>
      </c>
      <c r="K229" t="s">
        <v>53</v>
      </c>
    </row>
    <row r="230" spans="1:11" x14ac:dyDescent="0.3">
      <c r="A230" t="s">
        <v>833</v>
      </c>
      <c r="B230" t="s">
        <v>834</v>
      </c>
      <c r="C230" t="s">
        <v>12</v>
      </c>
      <c r="D230">
        <v>52</v>
      </c>
      <c r="E230" t="s">
        <v>2047</v>
      </c>
      <c r="F230" t="s">
        <v>13</v>
      </c>
      <c r="G230">
        <v>2</v>
      </c>
      <c r="H230">
        <v>600.16</v>
      </c>
      <c r="I230" t="s">
        <v>14</v>
      </c>
      <c r="J230" s="1">
        <v>44766</v>
      </c>
      <c r="K230" t="s">
        <v>19</v>
      </c>
    </row>
    <row r="231" spans="1:11" x14ac:dyDescent="0.3">
      <c r="A231" t="s">
        <v>819</v>
      </c>
      <c r="B231" t="s">
        <v>820</v>
      </c>
      <c r="C231" t="s">
        <v>12</v>
      </c>
      <c r="D231">
        <v>50</v>
      </c>
      <c r="E231" t="s">
        <v>2047</v>
      </c>
      <c r="F231" t="s">
        <v>13</v>
      </c>
      <c r="G231">
        <v>5</v>
      </c>
      <c r="H231">
        <v>1500.4</v>
      </c>
      <c r="I231" t="s">
        <v>14</v>
      </c>
      <c r="J231" s="1">
        <v>44468</v>
      </c>
      <c r="K231" t="s">
        <v>24</v>
      </c>
    </row>
    <row r="232" spans="1:11" x14ac:dyDescent="0.3">
      <c r="A232" t="s">
        <v>803</v>
      </c>
      <c r="B232" t="s">
        <v>804</v>
      </c>
      <c r="C232" t="s">
        <v>22</v>
      </c>
      <c r="D232">
        <v>48</v>
      </c>
      <c r="E232" t="s">
        <v>2047</v>
      </c>
      <c r="F232" t="s">
        <v>37</v>
      </c>
      <c r="G232">
        <v>1</v>
      </c>
      <c r="H232">
        <v>5.23</v>
      </c>
      <c r="I232" t="s">
        <v>28</v>
      </c>
      <c r="J232" s="1">
        <v>44731</v>
      </c>
      <c r="K232" t="s">
        <v>34</v>
      </c>
    </row>
    <row r="233" spans="1:11" x14ac:dyDescent="0.3">
      <c r="A233" t="s">
        <v>801</v>
      </c>
      <c r="B233" t="s">
        <v>802</v>
      </c>
      <c r="C233" t="s">
        <v>22</v>
      </c>
      <c r="D233">
        <v>50</v>
      </c>
      <c r="E233" t="s">
        <v>2047</v>
      </c>
      <c r="F233" t="s">
        <v>13</v>
      </c>
      <c r="G233">
        <v>3</v>
      </c>
      <c r="H233">
        <v>900.24</v>
      </c>
      <c r="I233" t="s">
        <v>14</v>
      </c>
      <c r="J233" s="1">
        <v>44742</v>
      </c>
      <c r="K233" t="s">
        <v>19</v>
      </c>
    </row>
    <row r="234" spans="1:11" x14ac:dyDescent="0.3">
      <c r="A234" t="s">
        <v>799</v>
      </c>
      <c r="B234" t="s">
        <v>800</v>
      </c>
      <c r="C234" t="s">
        <v>12</v>
      </c>
      <c r="D234">
        <v>50</v>
      </c>
      <c r="E234" t="s">
        <v>2047</v>
      </c>
      <c r="F234" t="s">
        <v>13</v>
      </c>
      <c r="G234">
        <v>4</v>
      </c>
      <c r="H234">
        <v>1200.32</v>
      </c>
      <c r="I234" t="s">
        <v>23</v>
      </c>
      <c r="J234" s="1">
        <v>44622</v>
      </c>
      <c r="K234" t="s">
        <v>15</v>
      </c>
    </row>
    <row r="235" spans="1:11" x14ac:dyDescent="0.3">
      <c r="A235" t="s">
        <v>495</v>
      </c>
      <c r="B235" t="s">
        <v>496</v>
      </c>
      <c r="C235" t="s">
        <v>22</v>
      </c>
      <c r="D235">
        <v>60</v>
      </c>
      <c r="E235" t="s">
        <v>2047</v>
      </c>
      <c r="F235" t="s">
        <v>13</v>
      </c>
      <c r="G235">
        <v>4</v>
      </c>
      <c r="H235">
        <v>1200.32</v>
      </c>
      <c r="I235" t="s">
        <v>28</v>
      </c>
      <c r="J235" s="1">
        <v>44493</v>
      </c>
      <c r="K235" t="s">
        <v>19</v>
      </c>
    </row>
    <row r="236" spans="1:11" x14ac:dyDescent="0.3">
      <c r="A236" t="s">
        <v>795</v>
      </c>
      <c r="B236" t="s">
        <v>796</v>
      </c>
      <c r="C236" t="s">
        <v>22</v>
      </c>
      <c r="D236">
        <v>48</v>
      </c>
      <c r="E236" t="s">
        <v>2047</v>
      </c>
      <c r="F236" t="s">
        <v>31</v>
      </c>
      <c r="G236">
        <v>3</v>
      </c>
      <c r="H236">
        <v>3150</v>
      </c>
      <c r="I236" t="s">
        <v>14</v>
      </c>
      <c r="J236" s="1">
        <v>44734</v>
      </c>
      <c r="K236" t="s">
        <v>60</v>
      </c>
    </row>
    <row r="237" spans="1:11" x14ac:dyDescent="0.3">
      <c r="A237" t="s">
        <v>791</v>
      </c>
      <c r="B237" t="s">
        <v>792</v>
      </c>
      <c r="C237" t="s">
        <v>12</v>
      </c>
      <c r="D237">
        <v>50</v>
      </c>
      <c r="E237" t="s">
        <v>2047</v>
      </c>
      <c r="F237" t="s">
        <v>13</v>
      </c>
      <c r="G237">
        <v>2</v>
      </c>
      <c r="H237">
        <v>600.16</v>
      </c>
      <c r="I237" t="s">
        <v>28</v>
      </c>
      <c r="J237" s="1">
        <v>44738</v>
      </c>
      <c r="K237" t="s">
        <v>24</v>
      </c>
    </row>
    <row r="238" spans="1:11" x14ac:dyDescent="0.3">
      <c r="A238" t="s">
        <v>775</v>
      </c>
      <c r="B238" t="s">
        <v>776</v>
      </c>
      <c r="C238" t="s">
        <v>22</v>
      </c>
      <c r="D238">
        <v>52</v>
      </c>
      <c r="E238" t="s">
        <v>2047</v>
      </c>
      <c r="F238" t="s">
        <v>27</v>
      </c>
      <c r="G238">
        <v>1</v>
      </c>
      <c r="H238">
        <v>15.15</v>
      </c>
      <c r="I238" t="s">
        <v>28</v>
      </c>
      <c r="J238" s="1">
        <v>44681</v>
      </c>
      <c r="K238" t="s">
        <v>43</v>
      </c>
    </row>
    <row r="239" spans="1:11" x14ac:dyDescent="0.3">
      <c r="A239" t="s">
        <v>767</v>
      </c>
      <c r="B239" t="s">
        <v>768</v>
      </c>
      <c r="C239" t="s">
        <v>12</v>
      </c>
      <c r="D239">
        <v>51</v>
      </c>
      <c r="E239" t="s">
        <v>2047</v>
      </c>
      <c r="F239" t="s">
        <v>18</v>
      </c>
      <c r="G239">
        <v>2</v>
      </c>
      <c r="H239">
        <v>81.319999999999993</v>
      </c>
      <c r="I239" t="s">
        <v>28</v>
      </c>
      <c r="J239" s="1">
        <v>44732</v>
      </c>
      <c r="K239" t="s">
        <v>53</v>
      </c>
    </row>
    <row r="240" spans="1:11" x14ac:dyDescent="0.3">
      <c r="A240" t="s">
        <v>505</v>
      </c>
      <c r="B240" t="s">
        <v>506</v>
      </c>
      <c r="C240" t="s">
        <v>22</v>
      </c>
      <c r="D240">
        <v>51</v>
      </c>
      <c r="E240" t="s">
        <v>2047</v>
      </c>
      <c r="F240" t="s">
        <v>13</v>
      </c>
      <c r="G240">
        <v>2</v>
      </c>
      <c r="H240">
        <v>600.16</v>
      </c>
      <c r="I240" t="s">
        <v>23</v>
      </c>
      <c r="J240" s="1">
        <v>44683</v>
      </c>
      <c r="K240" t="s">
        <v>43</v>
      </c>
    </row>
    <row r="241" spans="1:11" x14ac:dyDescent="0.3">
      <c r="A241" t="s">
        <v>757</v>
      </c>
      <c r="B241" t="s">
        <v>758</v>
      </c>
      <c r="C241" t="s">
        <v>22</v>
      </c>
      <c r="D241">
        <v>60</v>
      </c>
      <c r="E241" t="s">
        <v>2047</v>
      </c>
      <c r="F241" t="s">
        <v>18</v>
      </c>
      <c r="G241">
        <v>3</v>
      </c>
      <c r="H241">
        <v>121.98</v>
      </c>
      <c r="I241" t="s">
        <v>28</v>
      </c>
      <c r="J241" s="1">
        <v>44701</v>
      </c>
      <c r="K241" t="s">
        <v>84</v>
      </c>
    </row>
    <row r="242" spans="1:11" x14ac:dyDescent="0.3">
      <c r="A242" t="s">
        <v>741</v>
      </c>
      <c r="B242" t="s">
        <v>742</v>
      </c>
      <c r="C242" t="s">
        <v>22</v>
      </c>
      <c r="D242">
        <v>58</v>
      </c>
      <c r="E242" t="s">
        <v>2047</v>
      </c>
      <c r="F242" t="s">
        <v>13</v>
      </c>
      <c r="G242">
        <v>5</v>
      </c>
      <c r="H242">
        <v>1500.4</v>
      </c>
      <c r="I242" t="s">
        <v>14</v>
      </c>
      <c r="J242" s="1">
        <v>44720</v>
      </c>
      <c r="K242" t="s">
        <v>60</v>
      </c>
    </row>
    <row r="243" spans="1:11" x14ac:dyDescent="0.3">
      <c r="A243" t="s">
        <v>731</v>
      </c>
      <c r="B243" t="s">
        <v>732</v>
      </c>
      <c r="C243" t="s">
        <v>12</v>
      </c>
      <c r="D243">
        <v>46</v>
      </c>
      <c r="E243" t="s">
        <v>2047</v>
      </c>
      <c r="F243" t="s">
        <v>56</v>
      </c>
      <c r="G243">
        <v>5</v>
      </c>
      <c r="H243">
        <v>58.65</v>
      </c>
      <c r="I243" t="s">
        <v>23</v>
      </c>
      <c r="J243" s="1">
        <v>44617</v>
      </c>
      <c r="K243" t="s">
        <v>24</v>
      </c>
    </row>
    <row r="244" spans="1:11" x14ac:dyDescent="0.3">
      <c r="A244" t="s">
        <v>727</v>
      </c>
      <c r="B244" t="s">
        <v>728</v>
      </c>
      <c r="C244" t="s">
        <v>12</v>
      </c>
      <c r="D244">
        <v>48</v>
      </c>
      <c r="E244" t="s">
        <v>2047</v>
      </c>
      <c r="F244" t="s">
        <v>13</v>
      </c>
      <c r="G244">
        <v>5</v>
      </c>
      <c r="H244">
        <v>1500.4</v>
      </c>
      <c r="I244" t="s">
        <v>28</v>
      </c>
      <c r="J244" s="1">
        <v>44209</v>
      </c>
      <c r="K244" t="s">
        <v>43</v>
      </c>
    </row>
    <row r="245" spans="1:11" x14ac:dyDescent="0.3">
      <c r="A245" t="s">
        <v>703</v>
      </c>
      <c r="B245" t="s">
        <v>704</v>
      </c>
      <c r="C245" t="s">
        <v>22</v>
      </c>
      <c r="D245">
        <v>57</v>
      </c>
      <c r="E245" t="s">
        <v>2047</v>
      </c>
      <c r="F245" t="s">
        <v>13</v>
      </c>
      <c r="G245">
        <v>3</v>
      </c>
      <c r="H245">
        <v>900.24</v>
      </c>
      <c r="I245" t="s">
        <v>23</v>
      </c>
      <c r="J245" s="1">
        <v>44231</v>
      </c>
      <c r="K245" t="s">
        <v>43</v>
      </c>
    </row>
    <row r="246" spans="1:11" x14ac:dyDescent="0.3">
      <c r="A246" t="s">
        <v>699</v>
      </c>
      <c r="B246" t="s">
        <v>700</v>
      </c>
      <c r="C246" t="s">
        <v>22</v>
      </c>
      <c r="D246">
        <v>54</v>
      </c>
      <c r="E246" t="s">
        <v>2047</v>
      </c>
      <c r="F246" t="s">
        <v>13</v>
      </c>
      <c r="G246">
        <v>2</v>
      </c>
      <c r="H246">
        <v>600.16</v>
      </c>
      <c r="I246" t="s">
        <v>28</v>
      </c>
      <c r="J246" s="1">
        <v>44516</v>
      </c>
      <c r="K246" t="s">
        <v>34</v>
      </c>
    </row>
    <row r="247" spans="1:11" x14ac:dyDescent="0.3">
      <c r="A247" t="s">
        <v>519</v>
      </c>
      <c r="B247" t="s">
        <v>520</v>
      </c>
      <c r="C247" t="s">
        <v>22</v>
      </c>
      <c r="D247">
        <v>58</v>
      </c>
      <c r="E247" t="s">
        <v>2047</v>
      </c>
      <c r="F247" t="s">
        <v>37</v>
      </c>
      <c r="G247">
        <v>3</v>
      </c>
      <c r="H247">
        <v>15.69</v>
      </c>
      <c r="I247" t="s">
        <v>28</v>
      </c>
      <c r="J247" s="1">
        <v>44656</v>
      </c>
      <c r="K247" t="s">
        <v>60</v>
      </c>
    </row>
    <row r="248" spans="1:11" x14ac:dyDescent="0.3">
      <c r="A248" t="s">
        <v>521</v>
      </c>
      <c r="B248" t="s">
        <v>522</v>
      </c>
      <c r="C248" t="s">
        <v>22</v>
      </c>
      <c r="D248">
        <v>50</v>
      </c>
      <c r="E248" t="s">
        <v>2047</v>
      </c>
      <c r="F248" t="s">
        <v>13</v>
      </c>
      <c r="G248">
        <v>4</v>
      </c>
      <c r="H248">
        <v>1200.32</v>
      </c>
      <c r="I248" t="s">
        <v>14</v>
      </c>
      <c r="J248" s="1">
        <v>44651</v>
      </c>
      <c r="K248" t="s">
        <v>43</v>
      </c>
    </row>
    <row r="249" spans="1:11" x14ac:dyDescent="0.3">
      <c r="A249" t="s">
        <v>523</v>
      </c>
      <c r="B249" t="s">
        <v>524</v>
      </c>
      <c r="C249" t="s">
        <v>22</v>
      </c>
      <c r="D249">
        <v>52</v>
      </c>
      <c r="E249" t="s">
        <v>2047</v>
      </c>
      <c r="F249" t="s">
        <v>59</v>
      </c>
      <c r="G249">
        <v>2</v>
      </c>
      <c r="H249">
        <v>71.680000000000007</v>
      </c>
      <c r="I249" t="s">
        <v>14</v>
      </c>
      <c r="J249" s="1">
        <v>44259</v>
      </c>
      <c r="K249" t="s">
        <v>34</v>
      </c>
    </row>
    <row r="250" spans="1:11" x14ac:dyDescent="0.3">
      <c r="A250" t="s">
        <v>693</v>
      </c>
      <c r="B250" t="s">
        <v>694</v>
      </c>
      <c r="C250" t="s">
        <v>12</v>
      </c>
      <c r="D250">
        <v>59</v>
      </c>
      <c r="E250" t="s">
        <v>2047</v>
      </c>
      <c r="F250" t="s">
        <v>48</v>
      </c>
      <c r="G250">
        <v>3</v>
      </c>
      <c r="H250">
        <v>1800.51</v>
      </c>
      <c r="I250" t="s">
        <v>28</v>
      </c>
      <c r="J250" s="1">
        <v>44360</v>
      </c>
      <c r="K250" t="s">
        <v>24</v>
      </c>
    </row>
    <row r="251" spans="1:11" x14ac:dyDescent="0.3">
      <c r="A251" t="s">
        <v>681</v>
      </c>
      <c r="B251" t="s">
        <v>682</v>
      </c>
      <c r="C251" t="s">
        <v>22</v>
      </c>
      <c r="D251">
        <v>52</v>
      </c>
      <c r="E251" t="s">
        <v>2047</v>
      </c>
      <c r="F251" t="s">
        <v>18</v>
      </c>
      <c r="G251">
        <v>4</v>
      </c>
      <c r="H251">
        <v>162.63999999999999</v>
      </c>
      <c r="I251" t="s">
        <v>28</v>
      </c>
      <c r="J251" s="1">
        <v>44518</v>
      </c>
      <c r="K251" t="s">
        <v>60</v>
      </c>
    </row>
    <row r="252" spans="1:11" x14ac:dyDescent="0.3">
      <c r="A252" t="s">
        <v>529</v>
      </c>
      <c r="B252" t="s">
        <v>530</v>
      </c>
      <c r="C252" t="s">
        <v>22</v>
      </c>
      <c r="D252">
        <v>49</v>
      </c>
      <c r="E252" t="s">
        <v>2047</v>
      </c>
      <c r="F252" t="s">
        <v>13</v>
      </c>
      <c r="G252">
        <v>1</v>
      </c>
      <c r="H252">
        <v>300.08</v>
      </c>
      <c r="I252" t="s">
        <v>23</v>
      </c>
      <c r="J252" s="1">
        <v>44937</v>
      </c>
      <c r="K252" t="s">
        <v>40</v>
      </c>
    </row>
    <row r="253" spans="1:11" x14ac:dyDescent="0.3">
      <c r="A253" t="s">
        <v>673</v>
      </c>
      <c r="B253" t="s">
        <v>674</v>
      </c>
      <c r="C253" t="s">
        <v>22</v>
      </c>
      <c r="D253">
        <v>56</v>
      </c>
      <c r="E253" t="s">
        <v>2047</v>
      </c>
      <c r="F253" t="s">
        <v>13</v>
      </c>
      <c r="G253">
        <v>2</v>
      </c>
      <c r="H253">
        <v>600.16</v>
      </c>
      <c r="I253" t="s">
        <v>23</v>
      </c>
      <c r="J253" s="1">
        <v>44627</v>
      </c>
      <c r="K253" t="s">
        <v>15</v>
      </c>
    </row>
    <row r="254" spans="1:11" x14ac:dyDescent="0.3">
      <c r="A254" t="s">
        <v>533</v>
      </c>
      <c r="B254" t="s">
        <v>534</v>
      </c>
      <c r="C254" t="s">
        <v>12</v>
      </c>
      <c r="D254">
        <v>54</v>
      </c>
      <c r="E254" t="s">
        <v>2047</v>
      </c>
      <c r="F254" t="s">
        <v>18</v>
      </c>
      <c r="G254">
        <v>3</v>
      </c>
      <c r="H254">
        <v>121.98</v>
      </c>
      <c r="I254" t="s">
        <v>28</v>
      </c>
      <c r="J254" s="1">
        <v>44964</v>
      </c>
      <c r="K254" t="s">
        <v>84</v>
      </c>
    </row>
    <row r="255" spans="1:11" x14ac:dyDescent="0.3">
      <c r="A255" t="s">
        <v>535</v>
      </c>
      <c r="B255" t="s">
        <v>536</v>
      </c>
      <c r="C255" t="s">
        <v>22</v>
      </c>
      <c r="D255">
        <v>49</v>
      </c>
      <c r="E255" t="s">
        <v>2047</v>
      </c>
      <c r="F255" t="s">
        <v>18</v>
      </c>
      <c r="G255">
        <v>3</v>
      </c>
      <c r="H255">
        <v>121.98</v>
      </c>
      <c r="I255" t="s">
        <v>14</v>
      </c>
      <c r="J255" s="1">
        <v>44709</v>
      </c>
      <c r="K255" t="s">
        <v>43</v>
      </c>
    </row>
    <row r="256" spans="1:11" x14ac:dyDescent="0.3">
      <c r="A256" t="s">
        <v>655</v>
      </c>
      <c r="B256" t="s">
        <v>656</v>
      </c>
      <c r="C256" t="s">
        <v>12</v>
      </c>
      <c r="D256">
        <v>51</v>
      </c>
      <c r="E256" t="s">
        <v>2047</v>
      </c>
      <c r="F256" t="s">
        <v>13</v>
      </c>
      <c r="G256">
        <v>1</v>
      </c>
      <c r="H256">
        <v>300.08</v>
      </c>
      <c r="I256" t="s">
        <v>28</v>
      </c>
      <c r="J256" s="1">
        <v>44356</v>
      </c>
      <c r="K256" t="s">
        <v>84</v>
      </c>
    </row>
    <row r="257" spans="1:11" x14ac:dyDescent="0.3">
      <c r="A257" t="s">
        <v>647</v>
      </c>
      <c r="B257" t="s">
        <v>648</v>
      </c>
      <c r="C257" t="s">
        <v>22</v>
      </c>
      <c r="D257">
        <v>47</v>
      </c>
      <c r="E257" t="s">
        <v>2047</v>
      </c>
      <c r="F257" t="s">
        <v>13</v>
      </c>
      <c r="G257">
        <v>2</v>
      </c>
      <c r="H257">
        <v>600.16</v>
      </c>
      <c r="I257" t="s">
        <v>14</v>
      </c>
      <c r="J257" s="1">
        <v>44678</v>
      </c>
      <c r="K257" t="s">
        <v>53</v>
      </c>
    </row>
    <row r="258" spans="1:11" x14ac:dyDescent="0.3">
      <c r="A258" t="s">
        <v>645</v>
      </c>
      <c r="B258" t="s">
        <v>646</v>
      </c>
      <c r="C258" t="s">
        <v>22</v>
      </c>
      <c r="D258">
        <v>57</v>
      </c>
      <c r="E258" t="s">
        <v>2047</v>
      </c>
      <c r="F258" t="s">
        <v>27</v>
      </c>
      <c r="G258">
        <v>3</v>
      </c>
      <c r="H258">
        <v>45.45</v>
      </c>
      <c r="I258" t="s">
        <v>14</v>
      </c>
      <c r="J258" s="1">
        <v>44957</v>
      </c>
      <c r="K258" t="s">
        <v>43</v>
      </c>
    </row>
    <row r="259" spans="1:11" x14ac:dyDescent="0.3">
      <c r="A259" t="s">
        <v>643</v>
      </c>
      <c r="B259" t="s">
        <v>644</v>
      </c>
      <c r="C259" t="s">
        <v>22</v>
      </c>
      <c r="D259">
        <v>46</v>
      </c>
      <c r="E259" t="s">
        <v>2047</v>
      </c>
      <c r="F259" t="s">
        <v>48</v>
      </c>
      <c r="G259">
        <v>4</v>
      </c>
      <c r="H259">
        <v>2400.6799999999998</v>
      </c>
      <c r="I259" t="s">
        <v>14</v>
      </c>
      <c r="J259" s="1">
        <v>44617</v>
      </c>
      <c r="K259" t="s">
        <v>84</v>
      </c>
    </row>
    <row r="260" spans="1:11" x14ac:dyDescent="0.3">
      <c r="A260" t="s">
        <v>637</v>
      </c>
      <c r="B260" t="s">
        <v>638</v>
      </c>
      <c r="C260" t="s">
        <v>12</v>
      </c>
      <c r="D260">
        <v>59</v>
      </c>
      <c r="E260" t="s">
        <v>2047</v>
      </c>
      <c r="F260" t="s">
        <v>18</v>
      </c>
      <c r="G260">
        <v>1</v>
      </c>
      <c r="H260">
        <v>40.659999999999997</v>
      </c>
      <c r="I260" t="s">
        <v>28</v>
      </c>
      <c r="J260" s="1">
        <v>44239</v>
      </c>
      <c r="K260" t="s">
        <v>24</v>
      </c>
    </row>
    <row r="261" spans="1:11" x14ac:dyDescent="0.3">
      <c r="A261" t="s">
        <v>547</v>
      </c>
      <c r="B261" t="s">
        <v>548</v>
      </c>
      <c r="C261" t="s">
        <v>12</v>
      </c>
      <c r="D261">
        <v>55</v>
      </c>
      <c r="E261" t="s">
        <v>2047</v>
      </c>
      <c r="F261" t="s">
        <v>37</v>
      </c>
      <c r="G261">
        <v>3</v>
      </c>
      <c r="H261">
        <v>15.69</v>
      </c>
      <c r="I261" t="s">
        <v>23</v>
      </c>
      <c r="J261" s="1">
        <v>44631</v>
      </c>
      <c r="K261" t="s">
        <v>40</v>
      </c>
    </row>
    <row r="262" spans="1:11" x14ac:dyDescent="0.3">
      <c r="A262" t="s">
        <v>631</v>
      </c>
      <c r="B262" t="s">
        <v>632</v>
      </c>
      <c r="C262" t="s">
        <v>22</v>
      </c>
      <c r="D262">
        <v>53</v>
      </c>
      <c r="E262" t="s">
        <v>2047</v>
      </c>
      <c r="F262" t="s">
        <v>18</v>
      </c>
      <c r="G262">
        <v>4</v>
      </c>
      <c r="H262">
        <v>162.63999999999999</v>
      </c>
      <c r="I262" t="s">
        <v>28</v>
      </c>
      <c r="J262" s="1">
        <v>44433</v>
      </c>
      <c r="K262" t="s">
        <v>34</v>
      </c>
    </row>
    <row r="263" spans="1:11" x14ac:dyDescent="0.3">
      <c r="A263" t="s">
        <v>597</v>
      </c>
      <c r="B263" t="s">
        <v>598</v>
      </c>
      <c r="C263" t="s">
        <v>12</v>
      </c>
      <c r="D263">
        <v>46</v>
      </c>
      <c r="E263" t="s">
        <v>2047</v>
      </c>
      <c r="F263" t="s">
        <v>27</v>
      </c>
      <c r="G263">
        <v>2</v>
      </c>
      <c r="H263">
        <v>30.3</v>
      </c>
      <c r="I263" t="s">
        <v>14</v>
      </c>
      <c r="J263" s="1">
        <v>44987</v>
      </c>
      <c r="K263" t="s">
        <v>34</v>
      </c>
    </row>
    <row r="264" spans="1:11" x14ac:dyDescent="0.3">
      <c r="A264" t="s">
        <v>595</v>
      </c>
      <c r="B264" t="s">
        <v>596</v>
      </c>
      <c r="C264" t="s">
        <v>22</v>
      </c>
      <c r="D264">
        <v>54</v>
      </c>
      <c r="E264" t="s">
        <v>2047</v>
      </c>
      <c r="F264" t="s">
        <v>37</v>
      </c>
      <c r="G264">
        <v>3</v>
      </c>
      <c r="H264">
        <v>15.69</v>
      </c>
      <c r="I264" t="s">
        <v>14</v>
      </c>
      <c r="J264" s="1">
        <v>44424</v>
      </c>
      <c r="K264" t="s">
        <v>34</v>
      </c>
    </row>
    <row r="265" spans="1:11" x14ac:dyDescent="0.3">
      <c r="A265" t="s">
        <v>589</v>
      </c>
      <c r="B265" t="s">
        <v>590</v>
      </c>
      <c r="C265" t="s">
        <v>22</v>
      </c>
      <c r="D265">
        <v>49</v>
      </c>
      <c r="E265" t="s">
        <v>2047</v>
      </c>
      <c r="F265" t="s">
        <v>18</v>
      </c>
      <c r="G265">
        <v>2</v>
      </c>
      <c r="H265">
        <v>81.319999999999993</v>
      </c>
      <c r="I265" t="s">
        <v>14</v>
      </c>
      <c r="J265" s="1">
        <v>44919</v>
      </c>
      <c r="K265" t="s">
        <v>19</v>
      </c>
    </row>
    <row r="266" spans="1:11" x14ac:dyDescent="0.3">
      <c r="A266" t="s">
        <v>581</v>
      </c>
      <c r="B266" t="s">
        <v>582</v>
      </c>
      <c r="C266" t="s">
        <v>22</v>
      </c>
      <c r="D266">
        <v>54</v>
      </c>
      <c r="E266" t="s">
        <v>2047</v>
      </c>
      <c r="F266" t="s">
        <v>13</v>
      </c>
      <c r="G266">
        <v>4</v>
      </c>
      <c r="H266">
        <v>1200.32</v>
      </c>
      <c r="I266" t="s">
        <v>23</v>
      </c>
      <c r="J266" s="1">
        <v>44578</v>
      </c>
      <c r="K266" t="s">
        <v>60</v>
      </c>
    </row>
    <row r="267" spans="1:11" x14ac:dyDescent="0.3">
      <c r="A267" t="s">
        <v>571</v>
      </c>
      <c r="B267" t="s">
        <v>572</v>
      </c>
      <c r="C267" t="s">
        <v>12</v>
      </c>
      <c r="D267">
        <v>55</v>
      </c>
      <c r="E267" t="s">
        <v>2047</v>
      </c>
      <c r="F267" t="s">
        <v>18</v>
      </c>
      <c r="G267">
        <v>1</v>
      </c>
      <c r="H267">
        <v>40.659999999999997</v>
      </c>
      <c r="I267" t="s">
        <v>14</v>
      </c>
      <c r="J267" s="1">
        <v>44515</v>
      </c>
      <c r="K267" t="s">
        <v>40</v>
      </c>
    </row>
    <row r="268" spans="1:11" x14ac:dyDescent="0.3">
      <c r="A268" t="s">
        <v>565</v>
      </c>
      <c r="B268" t="s">
        <v>566</v>
      </c>
      <c r="C268" t="s">
        <v>12</v>
      </c>
      <c r="D268">
        <v>50</v>
      </c>
      <c r="E268" t="s">
        <v>2047</v>
      </c>
      <c r="F268" t="s">
        <v>59</v>
      </c>
      <c r="G268">
        <v>4</v>
      </c>
      <c r="H268">
        <v>143.36000000000001</v>
      </c>
      <c r="I268" t="s">
        <v>14</v>
      </c>
      <c r="J268" s="1">
        <v>44670</v>
      </c>
      <c r="K268" t="s">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DC8B-5B2E-4D25-9DFE-8EE2E920C37C}">
  <dimension ref="A5:W17"/>
  <sheetViews>
    <sheetView workbookViewId="0">
      <selection activeCell="O11" sqref="O11"/>
    </sheetView>
  </sheetViews>
  <sheetFormatPr defaultRowHeight="14.4" x14ac:dyDescent="0.3"/>
  <cols>
    <col min="1" max="1" width="10.77734375" bestFit="1" customWidth="1"/>
    <col min="2" max="2" width="19.44140625" bestFit="1" customWidth="1"/>
    <col min="5" max="5" width="5.88671875" customWidth="1"/>
    <col min="6" max="6" width="10.77734375" bestFit="1" customWidth="1"/>
    <col min="7" max="7" width="12.77734375" bestFit="1" customWidth="1"/>
    <col min="9" max="9" width="10.21875" customWidth="1"/>
    <col min="11" max="11" width="6.5546875" customWidth="1"/>
    <col min="12" max="12" width="10.77734375" bestFit="1" customWidth="1"/>
    <col min="13" max="13" width="13.5546875" bestFit="1" customWidth="1"/>
    <col min="16" max="16" width="15" bestFit="1" customWidth="1"/>
    <col min="17" max="17" width="14.6640625" bestFit="1" customWidth="1"/>
    <col min="19" max="19" width="9.44140625" customWidth="1"/>
    <col min="20" max="20" width="12.5546875" customWidth="1"/>
  </cols>
  <sheetData>
    <row r="5" spans="1:23" ht="18" x14ac:dyDescent="0.3">
      <c r="F5" s="10"/>
      <c r="G5" s="10"/>
      <c r="H5" s="10"/>
      <c r="I5" s="10"/>
      <c r="J5" s="10"/>
      <c r="K5" s="10"/>
      <c r="L5" s="10"/>
      <c r="M5" s="10"/>
      <c r="N5" s="10"/>
    </row>
    <row r="6" spans="1:23" ht="24" customHeight="1" x14ac:dyDescent="0.3">
      <c r="O6" s="18" t="s">
        <v>2041</v>
      </c>
      <c r="P6" s="16"/>
      <c r="Q6" s="16"/>
      <c r="R6" s="16"/>
      <c r="S6" s="16"/>
      <c r="T6" s="16"/>
      <c r="U6" s="14"/>
      <c r="V6" s="14"/>
      <c r="W6" s="14"/>
    </row>
    <row r="7" spans="1:23" x14ac:dyDescent="0.3">
      <c r="A7" s="2" t="s">
        <v>2</v>
      </c>
      <c r="B7" s="3" t="s">
        <v>2033</v>
      </c>
      <c r="F7" s="2" t="s">
        <v>2</v>
      </c>
      <c r="G7" s="3" t="s">
        <v>2037</v>
      </c>
      <c r="L7" s="2" t="s">
        <v>2</v>
      </c>
      <c r="M7" s="3" t="s">
        <v>2038</v>
      </c>
    </row>
    <row r="8" spans="1:23" x14ac:dyDescent="0.3">
      <c r="A8" s="3" t="s">
        <v>22</v>
      </c>
      <c r="B8" s="7">
        <v>620</v>
      </c>
      <c r="F8" s="3" t="s">
        <v>22</v>
      </c>
      <c r="G8" s="4">
        <v>0.62160348876216032</v>
      </c>
      <c r="L8" s="3" t="s">
        <v>22</v>
      </c>
      <c r="M8" s="7">
        <v>725738438.29000032</v>
      </c>
      <c r="P8" s="2" t="s">
        <v>4</v>
      </c>
      <c r="Q8" s="3" t="s">
        <v>2034</v>
      </c>
    </row>
    <row r="9" spans="1:23" x14ac:dyDescent="0.3">
      <c r="A9" s="3" t="s">
        <v>12</v>
      </c>
      <c r="B9" s="7">
        <v>380</v>
      </c>
      <c r="F9" s="3" t="s">
        <v>12</v>
      </c>
      <c r="G9" s="4">
        <v>0.37839651123783963</v>
      </c>
      <c r="L9" s="3" t="s">
        <v>12</v>
      </c>
      <c r="M9" s="7">
        <v>294813899.5200001</v>
      </c>
      <c r="P9" s="3" t="s">
        <v>27</v>
      </c>
      <c r="Q9" s="7">
        <v>196</v>
      </c>
    </row>
    <row r="10" spans="1:23" x14ac:dyDescent="0.3">
      <c r="A10" s="3" t="s">
        <v>2049</v>
      </c>
      <c r="B10" s="7">
        <v>1000</v>
      </c>
      <c r="F10" s="3" t="s">
        <v>2049</v>
      </c>
      <c r="G10" s="4">
        <v>1</v>
      </c>
      <c r="L10" s="3" t="s">
        <v>2049</v>
      </c>
      <c r="M10" s="7">
        <v>1946640010.369998</v>
      </c>
      <c r="P10" s="3" t="s">
        <v>13</v>
      </c>
      <c r="Q10" s="7">
        <v>977</v>
      </c>
    </row>
    <row r="11" spans="1:23" x14ac:dyDescent="0.3">
      <c r="A11" s="15" t="s">
        <v>2036</v>
      </c>
      <c r="B11" s="16"/>
      <c r="C11" s="16"/>
      <c r="D11" s="16"/>
      <c r="E11" s="14"/>
      <c r="F11" s="18" t="s">
        <v>2039</v>
      </c>
      <c r="G11" s="17"/>
      <c r="H11" s="17"/>
      <c r="I11" s="17"/>
      <c r="J11" s="19"/>
      <c r="K11" s="18" t="s">
        <v>2040</v>
      </c>
      <c r="L11" s="18"/>
      <c r="M11" s="16"/>
      <c r="N11" s="16"/>
      <c r="O11" s="13"/>
      <c r="P11" s="3" t="s">
        <v>18</v>
      </c>
      <c r="Q11" s="7">
        <v>473</v>
      </c>
    </row>
    <row r="12" spans="1:23" x14ac:dyDescent="0.3">
      <c r="P12" s="3" t="s">
        <v>37</v>
      </c>
      <c r="Q12" s="7">
        <v>358</v>
      </c>
    </row>
    <row r="13" spans="1:23" x14ac:dyDescent="0.3">
      <c r="P13" s="3" t="s">
        <v>48</v>
      </c>
      <c r="Q13" s="7">
        <v>312</v>
      </c>
    </row>
    <row r="14" spans="1:23" x14ac:dyDescent="0.3">
      <c r="P14" s="3" t="s">
        <v>56</v>
      </c>
      <c r="Q14" s="7">
        <v>213</v>
      </c>
    </row>
    <row r="15" spans="1:23" x14ac:dyDescent="0.3">
      <c r="P15" s="3" t="s">
        <v>31</v>
      </c>
      <c r="Q15" s="7">
        <v>128</v>
      </c>
    </row>
    <row r="16" spans="1:23" x14ac:dyDescent="0.3">
      <c r="P16" s="3" t="s">
        <v>59</v>
      </c>
      <c r="Q16" s="7">
        <v>324</v>
      </c>
    </row>
    <row r="17" spans="16:17" x14ac:dyDescent="0.3">
      <c r="P17" s="3" t="s">
        <v>2049</v>
      </c>
      <c r="Q17" s="7">
        <v>2981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6B94-1BBC-400E-9DC9-825A2D9AA968}">
  <dimension ref="A6:S17"/>
  <sheetViews>
    <sheetView workbookViewId="0">
      <selection activeCell="N13" sqref="N13"/>
    </sheetView>
  </sheetViews>
  <sheetFormatPr defaultRowHeight="14.4" x14ac:dyDescent="0.3"/>
  <cols>
    <col min="1" max="1" width="11.6640625" bestFit="1" customWidth="1"/>
    <col min="2" max="2" width="19.44140625" bestFit="1" customWidth="1"/>
    <col min="6" max="6" width="11.6640625" bestFit="1" customWidth="1"/>
    <col min="7" max="7" width="12.77734375" bestFit="1" customWidth="1"/>
    <col min="9" max="9" width="11.6640625" bestFit="1" customWidth="1"/>
    <col min="10" max="10" width="6.21875" customWidth="1"/>
    <col min="11" max="11" width="11.6640625" bestFit="1" customWidth="1"/>
    <col min="12" max="12" width="12.5546875" bestFit="1" customWidth="1"/>
    <col min="16" max="16" width="15" bestFit="1" customWidth="1"/>
    <col min="17" max="17" width="9.109375" bestFit="1" customWidth="1"/>
    <col min="18" max="18" width="5.21875" bestFit="1" customWidth="1"/>
    <col min="19" max="20" width="10.77734375" bestFit="1" customWidth="1"/>
  </cols>
  <sheetData>
    <row r="6" spans="1:19" x14ac:dyDescent="0.3">
      <c r="O6" s="15" t="s">
        <v>2053</v>
      </c>
      <c r="P6" s="23"/>
      <c r="Q6" s="23"/>
      <c r="R6" s="23"/>
      <c r="S6" s="23"/>
    </row>
    <row r="7" spans="1:19" x14ac:dyDescent="0.3">
      <c r="A7" s="5" t="s">
        <v>2043</v>
      </c>
      <c r="B7" t="s">
        <v>2033</v>
      </c>
      <c r="F7" s="5" t="s">
        <v>2043</v>
      </c>
      <c r="G7" t="s">
        <v>2037</v>
      </c>
      <c r="K7" s="5" t="s">
        <v>2043</v>
      </c>
      <c r="L7" t="s">
        <v>2050</v>
      </c>
      <c r="P7" s="5" t="s">
        <v>2037</v>
      </c>
      <c r="Q7" s="5" t="s">
        <v>2</v>
      </c>
    </row>
    <row r="8" spans="1:19" x14ac:dyDescent="0.3">
      <c r="A8" s="21" t="s">
        <v>2044</v>
      </c>
      <c r="B8" s="6">
        <v>159</v>
      </c>
      <c r="F8" s="21" t="s">
        <v>2044</v>
      </c>
      <c r="G8" s="6">
        <v>479</v>
      </c>
      <c r="K8" s="21" t="s">
        <v>2044</v>
      </c>
      <c r="L8" s="22">
        <v>47908837.550000042</v>
      </c>
      <c r="P8" s="5" t="s">
        <v>2054</v>
      </c>
      <c r="Q8" t="s">
        <v>22</v>
      </c>
      <c r="R8" t="s">
        <v>12</v>
      </c>
      <c r="S8" t="s">
        <v>2049</v>
      </c>
    </row>
    <row r="9" spans="1:19" x14ac:dyDescent="0.3">
      <c r="A9" s="21" t="s">
        <v>2045</v>
      </c>
      <c r="B9" s="6">
        <v>185</v>
      </c>
      <c r="F9" s="21" t="s">
        <v>2045</v>
      </c>
      <c r="G9" s="6">
        <v>553</v>
      </c>
      <c r="K9" s="21" t="s">
        <v>2045</v>
      </c>
      <c r="L9" s="22">
        <v>59943048.830000043</v>
      </c>
      <c r="P9" s="21" t="s">
        <v>27</v>
      </c>
      <c r="Q9" s="6">
        <v>112</v>
      </c>
      <c r="R9" s="6">
        <v>84</v>
      </c>
      <c r="S9" s="6">
        <v>196</v>
      </c>
    </row>
    <row r="10" spans="1:19" x14ac:dyDescent="0.3">
      <c r="A10" s="21" t="s">
        <v>2046</v>
      </c>
      <c r="B10" s="6">
        <v>203</v>
      </c>
      <c r="F10" s="21" t="s">
        <v>2046</v>
      </c>
      <c r="G10" s="6">
        <v>618</v>
      </c>
      <c r="K10" s="21" t="s">
        <v>2046</v>
      </c>
      <c r="L10" s="22">
        <v>80984623.440000072</v>
      </c>
      <c r="P10" s="21" t="s">
        <v>13</v>
      </c>
      <c r="Q10" s="6">
        <v>612</v>
      </c>
      <c r="R10" s="6">
        <v>365</v>
      </c>
      <c r="S10" s="6">
        <v>977</v>
      </c>
    </row>
    <row r="11" spans="1:19" x14ac:dyDescent="0.3">
      <c r="A11" s="21" t="s">
        <v>2047</v>
      </c>
      <c r="B11" s="6">
        <v>265</v>
      </c>
      <c r="F11" s="21" t="s">
        <v>2047</v>
      </c>
      <c r="G11" s="6">
        <v>799</v>
      </c>
      <c r="K11" s="21" t="s">
        <v>2047</v>
      </c>
      <c r="L11" s="22">
        <v>133286359.53000012</v>
      </c>
      <c r="P11" s="21" t="s">
        <v>18</v>
      </c>
      <c r="Q11" s="6">
        <v>305</v>
      </c>
      <c r="R11" s="6">
        <v>168</v>
      </c>
      <c r="S11" s="6">
        <v>473</v>
      </c>
    </row>
    <row r="12" spans="1:19" x14ac:dyDescent="0.3">
      <c r="A12" s="21" t="s">
        <v>2048</v>
      </c>
      <c r="B12" s="6">
        <v>188</v>
      </c>
      <c r="F12" s="21" t="s">
        <v>2048</v>
      </c>
      <c r="G12" s="6">
        <v>532</v>
      </c>
      <c r="K12" s="21" t="s">
        <v>2048</v>
      </c>
      <c r="L12" s="22">
        <v>78066563.120000005</v>
      </c>
      <c r="P12" s="21" t="s">
        <v>37</v>
      </c>
      <c r="Q12" s="6">
        <v>216</v>
      </c>
      <c r="R12" s="6">
        <v>142</v>
      </c>
      <c r="S12" s="6">
        <v>358</v>
      </c>
    </row>
    <row r="13" spans="1:19" x14ac:dyDescent="0.3">
      <c r="A13" s="21" t="s">
        <v>2049</v>
      </c>
      <c r="B13" s="6">
        <v>1000</v>
      </c>
      <c r="F13" s="21" t="s">
        <v>2049</v>
      </c>
      <c r="G13" s="6">
        <v>2981</v>
      </c>
      <c r="K13" s="21" t="s">
        <v>2049</v>
      </c>
      <c r="L13" s="22">
        <v>1946640010.3700018</v>
      </c>
      <c r="P13" s="21" t="s">
        <v>48</v>
      </c>
      <c r="Q13" s="6">
        <v>178</v>
      </c>
      <c r="R13" s="6">
        <v>134</v>
      </c>
      <c r="S13" s="6">
        <v>312</v>
      </c>
    </row>
    <row r="14" spans="1:19" x14ac:dyDescent="0.3">
      <c r="P14" s="21" t="s">
        <v>56</v>
      </c>
      <c r="Q14" s="6">
        <v>145</v>
      </c>
      <c r="R14" s="6">
        <v>68</v>
      </c>
      <c r="S14" s="6">
        <v>213</v>
      </c>
    </row>
    <row r="15" spans="1:19" x14ac:dyDescent="0.3">
      <c r="A15" s="15" t="s">
        <v>2042</v>
      </c>
      <c r="B15" s="16"/>
      <c r="C15" s="16"/>
      <c r="D15" s="16"/>
      <c r="E15" s="14"/>
      <c r="F15" s="18" t="s">
        <v>2051</v>
      </c>
      <c r="G15" s="16"/>
      <c r="H15" s="16"/>
      <c r="I15" s="16"/>
      <c r="J15" s="12"/>
      <c r="K15" s="18" t="s">
        <v>2052</v>
      </c>
      <c r="L15" s="16"/>
      <c r="M15" s="16"/>
      <c r="N15" s="16"/>
      <c r="O15" s="14"/>
      <c r="P15" s="21" t="s">
        <v>31</v>
      </c>
      <c r="Q15" s="6">
        <v>73</v>
      </c>
      <c r="R15" s="6">
        <v>55</v>
      </c>
      <c r="S15" s="6">
        <v>128</v>
      </c>
    </row>
    <row r="16" spans="1:19" x14ac:dyDescent="0.3">
      <c r="P16" s="21" t="s">
        <v>59</v>
      </c>
      <c r="Q16" s="6">
        <v>212</v>
      </c>
      <c r="R16" s="6">
        <v>112</v>
      </c>
      <c r="S16" s="6">
        <v>324</v>
      </c>
    </row>
    <row r="17" spans="16:19" x14ac:dyDescent="0.3">
      <c r="P17" s="21" t="s">
        <v>2049</v>
      </c>
      <c r="Q17" s="6">
        <v>1853</v>
      </c>
      <c r="R17" s="6">
        <v>1128</v>
      </c>
      <c r="S17" s="6">
        <v>2981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B2D66-EC1C-4A71-97FF-6CD3A14A3B53}">
  <dimension ref="A7:P14"/>
  <sheetViews>
    <sheetView tabSelected="1" workbookViewId="0">
      <selection activeCell="T22" sqref="T22"/>
    </sheetView>
  </sheetViews>
  <sheetFormatPr defaultRowHeight="14.4" x14ac:dyDescent="0.3"/>
  <cols>
    <col min="1" max="1" width="18" bestFit="1" customWidth="1"/>
    <col min="2" max="2" width="9.109375" bestFit="1" customWidth="1"/>
    <col min="3" max="3" width="5.21875" bestFit="1" customWidth="1"/>
    <col min="4" max="4" width="10.77734375" bestFit="1" customWidth="1"/>
    <col min="8" max="8" width="18" bestFit="1" customWidth="1"/>
    <col min="9" max="9" width="14.88671875" bestFit="1" customWidth="1"/>
    <col min="10" max="10" width="12" bestFit="1" customWidth="1"/>
    <col min="11" max="11" width="18" bestFit="1" customWidth="1"/>
    <col min="12" max="12" width="11.5546875" bestFit="1" customWidth="1"/>
    <col min="13" max="13" width="14" bestFit="1" customWidth="1"/>
    <col min="14" max="19" width="6" bestFit="1" customWidth="1"/>
    <col min="20" max="20" width="5" bestFit="1" customWidth="1"/>
    <col min="21" max="26" width="6" bestFit="1" customWidth="1"/>
    <col min="27" max="27" width="5" bestFit="1" customWidth="1"/>
    <col min="28" max="30" width="6" bestFit="1" customWidth="1"/>
    <col min="31" max="34" width="7" bestFit="1" customWidth="1"/>
    <col min="35" max="36" width="6" bestFit="1" customWidth="1"/>
    <col min="37" max="40" width="7" bestFit="1" customWidth="1"/>
    <col min="41" max="41" width="5" bestFit="1" customWidth="1"/>
    <col min="42" max="43" width="8" bestFit="1" customWidth="1"/>
    <col min="44" max="44" width="7" bestFit="1" customWidth="1"/>
    <col min="45" max="45" width="8" bestFit="1" customWidth="1"/>
    <col min="46" max="46" width="5" bestFit="1" customWidth="1"/>
    <col min="47" max="48" width="8" bestFit="1" customWidth="1"/>
    <col min="49" max="51" width="5" bestFit="1" customWidth="1"/>
    <col min="52" max="52" width="10.77734375" bestFit="1" customWidth="1"/>
  </cols>
  <sheetData>
    <row r="7" spans="1:16" x14ac:dyDescent="0.3">
      <c r="A7" s="5" t="s">
        <v>2037</v>
      </c>
      <c r="B7" s="5" t="s">
        <v>2</v>
      </c>
      <c r="H7" s="5" t="s">
        <v>2056</v>
      </c>
      <c r="I7" t="s">
        <v>2035</v>
      </c>
      <c r="K7" s="5" t="s">
        <v>2056</v>
      </c>
      <c r="L7" t="s">
        <v>2059</v>
      </c>
      <c r="M7" t="s">
        <v>2060</v>
      </c>
    </row>
    <row r="8" spans="1:16" x14ac:dyDescent="0.3">
      <c r="A8" s="5" t="s">
        <v>2056</v>
      </c>
      <c r="B8" t="s">
        <v>22</v>
      </c>
      <c r="C8" t="s">
        <v>12</v>
      </c>
      <c r="D8" t="s">
        <v>2049</v>
      </c>
      <c r="H8" s="21" t="s">
        <v>14</v>
      </c>
      <c r="I8" s="6">
        <v>363213568.32000047</v>
      </c>
      <c r="K8" s="21" t="s">
        <v>14</v>
      </c>
      <c r="L8" s="26">
        <v>0.43761564900645611</v>
      </c>
      <c r="M8" s="6">
        <v>420</v>
      </c>
    </row>
    <row r="9" spans="1:16" x14ac:dyDescent="0.3">
      <c r="A9" s="21" t="s">
        <v>14</v>
      </c>
      <c r="B9" s="6">
        <v>822</v>
      </c>
      <c r="C9" s="6">
        <v>449</v>
      </c>
      <c r="D9" s="6">
        <v>1271</v>
      </c>
      <c r="H9" s="21" t="s">
        <v>28</v>
      </c>
      <c r="I9" s="6">
        <v>233746000.63999999</v>
      </c>
      <c r="K9" s="21" t="s">
        <v>28</v>
      </c>
      <c r="L9" s="26">
        <v>0.33484422589059409</v>
      </c>
      <c r="M9" s="6">
        <v>366</v>
      </c>
    </row>
    <row r="10" spans="1:16" x14ac:dyDescent="0.3">
      <c r="A10" s="21" t="s">
        <v>28</v>
      </c>
      <c r="B10" s="6">
        <v>645</v>
      </c>
      <c r="C10" s="6">
        <v>424</v>
      </c>
      <c r="D10" s="6">
        <v>1069</v>
      </c>
      <c r="H10" s="21" t="s">
        <v>23</v>
      </c>
      <c r="I10" s="6">
        <v>95244452.89000003</v>
      </c>
      <c r="K10" s="21" t="s">
        <v>23</v>
      </c>
      <c r="L10" s="26">
        <v>0.22754012510295149</v>
      </c>
      <c r="M10" s="6">
        <v>214</v>
      </c>
    </row>
    <row r="11" spans="1:16" x14ac:dyDescent="0.3">
      <c r="A11" s="21" t="s">
        <v>23</v>
      </c>
      <c r="B11" s="6">
        <v>386</v>
      </c>
      <c r="C11" s="6">
        <v>255</v>
      </c>
      <c r="D11" s="6">
        <v>641</v>
      </c>
      <c r="H11" s="21" t="s">
        <v>2049</v>
      </c>
      <c r="I11" s="6">
        <v>1946640010.369998</v>
      </c>
      <c r="K11" s="21" t="s">
        <v>2049</v>
      </c>
      <c r="L11" s="26">
        <v>1</v>
      </c>
      <c r="M11" s="6">
        <v>1000</v>
      </c>
    </row>
    <row r="12" spans="1:16" x14ac:dyDescent="0.3">
      <c r="A12" s="21" t="s">
        <v>2049</v>
      </c>
      <c r="B12" s="6">
        <v>1853</v>
      </c>
      <c r="C12" s="6">
        <v>1128</v>
      </c>
      <c r="D12" s="6">
        <v>2981</v>
      </c>
    </row>
    <row r="14" spans="1:16" x14ac:dyDescent="0.3">
      <c r="A14" s="24" t="s">
        <v>2057</v>
      </c>
      <c r="B14" s="25"/>
      <c r="C14" s="25"/>
      <c r="D14" s="25"/>
      <c r="E14" s="25"/>
      <c r="F14" s="25"/>
      <c r="G14" s="23"/>
      <c r="K14" s="24" t="s">
        <v>2058</v>
      </c>
      <c r="L14" s="25"/>
      <c r="M14" s="25"/>
      <c r="N14" s="25"/>
      <c r="O14" s="27"/>
      <c r="P14" s="1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datamites database_Final</vt:lpstr>
      <vt:lpstr>Detail1</vt:lpstr>
      <vt:lpstr>GENDER INSIGHTS </vt:lpstr>
      <vt:lpstr>AGE INSIGHTS</vt:lpstr>
      <vt:lpstr>PAYMENT METHOD INSIGHS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Srashti sharma</dc:creator>
  <cp:lastModifiedBy>Srashti sharma</cp:lastModifiedBy>
  <dcterms:created xsi:type="dcterms:W3CDTF">2026-01-05T10:12:11Z</dcterms:created>
  <dcterms:modified xsi:type="dcterms:W3CDTF">2026-01-14T13:07:26Z</dcterms:modified>
</cp:coreProperties>
</file>